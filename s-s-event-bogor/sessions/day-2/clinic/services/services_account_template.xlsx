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hysical Supply" sheetId="2" state="visible" r:id="rId2"/>
    <sheet xmlns:r="http://schemas.openxmlformats.org/officeDocument/2006/relationships" name="Monetary Supply" sheetId="3" state="visible" r:id="rId3"/>
    <sheet xmlns:r="http://schemas.openxmlformats.org/officeDocument/2006/relationships" name="Physical Use" sheetId="4" state="visible" r:id="rId4"/>
    <sheet xmlns:r="http://schemas.openxmlformats.org/officeDocument/2006/relationships" name="Monetary Use" sheetId="5" state="visible" r:id="rId5"/>
    <sheet xmlns:r="http://schemas.openxmlformats.org/officeDocument/2006/relationships" name="Calculations" sheetId="6" state="visible" r:id="rId6"/>
    <sheet xmlns:r="http://schemas.openxmlformats.org/officeDocument/2006/relationships" name="Glossary" sheetId="7" state="visible" r:id="rId7"/>
    <sheet xmlns:r="http://schemas.openxmlformats.org/officeDocument/2006/relationships" name="Combined Supply-U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b val="1"/>
      <color rgb="0030302F"/>
      <sz val="10"/>
    </font>
    <font>
      <name val="Arial"/>
      <b val="1"/>
      <color rgb="000A5455"/>
      <sz val="12"/>
    </font>
    <font>
      <name val="Arial"/>
      <color rgb="003B9C7B"/>
      <sz val="11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i val="1"/>
      <color rgb="00717171"/>
      <sz val="9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2C745B"/>
        <bgColor rgb="002C745B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2" fillId="0" borderId="1" pivotButton="0" quotePrefix="0" xfId="0"/>
    <xf numFmtId="0" fontId="7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Services</t>
        </is>
      </c>
    </row>
    <row r="2">
      <c r="A2" s="12" t="inlineStr">
        <is>
          <t>Account Template</t>
        </is>
      </c>
    </row>
    <row r="4">
      <c r="A4" s="10" t="inlineStr">
        <is>
          <t>How to use this file</t>
        </is>
      </c>
    </row>
    <row r="5">
      <c r="A5" s="13" t="inlineStr">
        <is>
          <t>Fill in the yellow cells with your country's data.</t>
        </is>
      </c>
    </row>
    <row r="6">
      <c r="A6" s="13" t="inlineStr">
        <is>
          <t>White cells with formulas will calculate automatically.</t>
        </is>
      </c>
    </row>
    <row r="7">
      <c r="A7" s="13" t="inlineStr">
        <is>
          <t>See the Glossary sheet for definitions of all terms and abbreviations.</t>
        </is>
      </c>
    </row>
    <row r="8">
      <c r="A8" s="13" t="inlineStr">
        <is>
          <t>See the Instructions sheet (if present) for detailed step-by-step guidance.</t>
        </is>
      </c>
    </row>
    <row r="10">
      <c r="A10" s="2" t="inlineStr">
        <is>
          <t>USE TABLES (who benefits from each service):</t>
        </is>
      </c>
    </row>
    <row r="11">
      <c r="A11" s="13" t="inlineStr">
        <is>
          <t>Physical Use sheet: assign physical quantities to beneficiary sectors</t>
        </is>
      </c>
    </row>
    <row r="12">
      <c r="A12" s="13" t="inlineStr">
        <is>
          <t xml:space="preserve">   (fisheries, tourism, coastal households, government, global community).</t>
        </is>
      </c>
    </row>
    <row r="13">
      <c r="A13" s="13" t="inlineStr">
        <is>
          <t>Monetary Use sheet: assign economic values to the same sectors.</t>
        </is>
      </c>
    </row>
    <row r="14">
      <c r="A14" s="13" t="inlineStr">
        <is>
          <t>The total in each use table must equal the total in the corresponding supply table.</t>
        </is>
      </c>
    </row>
    <row r="15">
      <c r="A15" s="13" t="inlineStr">
        <is>
          <t>Supply shows WHERE services come from (ecosystems). Use shows WHO benefits (sectors).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SEEA EA Ecosystem Service Supply Account</t>
        </is>
      </c>
    </row>
    <row r="2">
      <c r="A2" s="2" t="inlineStr">
        <is>
          <t>Accounting area:</t>
        </is>
      </c>
      <c r="B2" s="3" t="n"/>
    </row>
    <row r="3">
      <c r="A3" s="2" t="inlineStr">
        <is>
          <t>Accounting year:</t>
        </is>
      </c>
      <c r="B3" s="3" t="n"/>
    </row>
    <row r="5">
      <c r="A5" s="4" t="inlineStr">
        <is>
          <t>Service</t>
        </is>
      </c>
      <c r="B5" s="4" t="inlineStr">
        <is>
          <t>Unit</t>
        </is>
      </c>
      <c r="C5" s="4" t="inlineStr">
        <is>
          <t>Coral reefs</t>
        </is>
      </c>
      <c r="D5" s="4" t="inlineStr">
        <is>
          <t>Seagrass</t>
        </is>
      </c>
      <c r="E5" s="4" t="inlineStr">
        <is>
          <t>Mangroves</t>
        </is>
      </c>
      <c r="F5" s="4" t="inlineStr">
        <is>
          <t>Total</t>
        </is>
      </c>
    </row>
    <row r="6">
      <c r="A6" s="5" t="inlineStr">
        <is>
          <t>Fish provisioning</t>
        </is>
      </c>
      <c r="B6" s="6" t="inlineStr">
        <is>
          <t>kg/yr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Carbon sequestration</t>
        </is>
      </c>
      <c r="B7" s="6" t="inlineStr">
        <is>
          <t>tonnes CO2/yr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Coastal protection</t>
        </is>
      </c>
      <c r="B8" s="6" t="inlineStr">
        <is>
          <t>m coastline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Nursery habitat</t>
        </is>
      </c>
      <c r="B9" s="6" t="inlineStr">
        <is>
          <t>kg biomass/yr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Recreation</t>
        </is>
      </c>
      <c r="B10" s="6" t="inlineStr">
        <is>
          <t>visitors/yr</t>
        </is>
      </c>
      <c r="C10" s="7" t="n"/>
      <c r="D10" s="7" t="n"/>
      <c r="E10" s="7" t="n"/>
      <c r="F10" s="8">
        <f>SUM(C10:E10)</f>
        <v/>
      </c>
    </row>
    <row r="11">
      <c r="A11" s="5" t="inlineStr">
        <is>
          <t>Gleaning</t>
        </is>
      </c>
      <c r="B11" s="6" t="inlineStr">
        <is>
          <t>hours/yr</t>
        </is>
      </c>
      <c r="C11" s="7" t="n"/>
      <c r="D11" s="7" t="n"/>
      <c r="E11" s="7" t="n"/>
      <c r="F11" s="8">
        <f>SUM(C11:E11)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Monetary Ecosystem Service Supply (USD/yr)</t>
        </is>
      </c>
    </row>
    <row r="3">
      <c r="A3" s="4" t="inlineStr">
        <is>
          <t>Service</t>
        </is>
      </c>
      <c r="B3" s="4" t="inlineStr">
        <is>
          <t>Valuation method</t>
        </is>
      </c>
      <c r="C3" s="4" t="inlineStr">
        <is>
          <t>Coral reefs</t>
        </is>
      </c>
      <c r="D3" s="4" t="inlineStr">
        <is>
          <t>Seagrass</t>
        </is>
      </c>
      <c r="E3" s="4" t="inlineStr">
        <is>
          <t>Mangroves</t>
        </is>
      </c>
      <c r="F3" s="4" t="inlineStr">
        <is>
          <t>Total</t>
        </is>
      </c>
    </row>
    <row r="4">
      <c r="A4" s="5" t="inlineStr">
        <is>
          <t>Fish provisioning</t>
        </is>
      </c>
      <c r="B4" s="6" t="inlineStr">
        <is>
          <t>Resource rent</t>
        </is>
      </c>
      <c r="C4" s="7" t="n"/>
      <c r="D4" s="7" t="n"/>
      <c r="E4" s="7" t="n"/>
      <c r="F4" s="8">
        <f>SUM(C4:E4)</f>
        <v/>
      </c>
    </row>
    <row r="5">
      <c r="A5" s="5" t="inlineStr">
        <is>
          <t>Carbon sequestration</t>
        </is>
      </c>
      <c r="B5" s="6" t="inlineStr">
        <is>
          <t>Social cost of carbon</t>
        </is>
      </c>
      <c r="C5" s="7" t="n"/>
      <c r="D5" s="7" t="n"/>
      <c r="E5" s="7" t="n"/>
      <c r="F5" s="8">
        <f>SUM(C5:E5)</f>
        <v/>
      </c>
    </row>
    <row r="6">
      <c r="A6" s="5" t="inlineStr">
        <is>
          <t>Coastal protection</t>
        </is>
      </c>
      <c r="B6" s="6" t="inlineStr">
        <is>
          <t>Replacement cost</t>
        </is>
      </c>
      <c r="C6" s="7" t="n"/>
      <c r="D6" s="7" t="n"/>
      <c r="E6" s="7" t="n"/>
      <c r="F6" s="8">
        <f>SUM(C6:E6)</f>
        <v/>
      </c>
    </row>
    <row r="7">
      <c r="A7" s="5" t="inlineStr">
        <is>
          <t>Nursery habitat</t>
        </is>
      </c>
      <c r="B7" s="6" t="inlineStr">
        <is>
          <t>Productivity change</t>
        </is>
      </c>
      <c r="C7" s="7" t="n"/>
      <c r="D7" s="7" t="n"/>
      <c r="E7" s="7" t="n"/>
      <c r="F7" s="8">
        <f>SUM(C7:E7)</f>
        <v/>
      </c>
    </row>
    <row r="8">
      <c r="A8" s="5" t="inlineStr">
        <is>
          <t>Recreation</t>
        </is>
      </c>
      <c r="B8" s="6" t="inlineStr">
        <is>
          <t>Direct expenditure</t>
        </is>
      </c>
      <c r="C8" s="7" t="n"/>
      <c r="D8" s="7" t="n"/>
      <c r="E8" s="7" t="n"/>
      <c r="F8" s="8">
        <f>SUM(C8:E8)</f>
        <v/>
      </c>
    </row>
    <row r="9">
      <c r="A9" s="5" t="inlineStr">
        <is>
          <t>Gleaning</t>
        </is>
      </c>
      <c r="B9" s="6" t="inlineStr">
        <is>
          <t>Equivalent wage</t>
        </is>
      </c>
      <c r="C9" s="7" t="n"/>
      <c r="D9" s="7" t="n"/>
      <c r="E9" s="7" t="n"/>
      <c r="F9" s="8">
        <f>SUM(C9:E9)</f>
        <v/>
      </c>
    </row>
    <row r="10">
      <c r="A10" s="5" t="inlineStr">
        <is>
          <t>TOTAL</t>
        </is>
      </c>
      <c r="B10" s="5" t="inlineStr"/>
      <c r="C10" s="9">
        <f>SUM(C4:C9)</f>
        <v/>
      </c>
      <c r="D10" s="9">
        <f>SUM(D4:D9)</f>
        <v/>
      </c>
      <c r="E10" s="9">
        <f>SUM(E4:E9)</f>
        <v/>
      </c>
      <c r="F10" s="9">
        <f>SUM(F4:F9)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A: Physical Use</t>
        </is>
      </c>
    </row>
    <row r="2">
      <c r="A2" s="17" t="inlineStr">
        <is>
          <t>Who benefits from each service? Assign physical quantities to beneficiary sectors.</t>
        </is>
      </c>
    </row>
    <row r="4">
      <c r="A4" s="4" t="inlineStr">
        <is>
          <t>Service</t>
        </is>
      </c>
      <c r="B4" s="4" t="inlineStr">
        <is>
          <t>Unit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18" t="inlineStr">
        <is>
          <t>kg/yr</t>
        </is>
      </c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18" t="inlineStr">
        <is>
          <t>Mg CO2/yr</t>
        </is>
      </c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18" t="inlineStr">
        <is>
          <t>m coastline</t>
        </is>
      </c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18" t="inlineStr">
        <is>
          <t>kg biomass/yr</t>
        </is>
      </c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18" t="inlineStr">
        <is>
          <t>visitors/yr</t>
        </is>
      </c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18" t="inlineStr">
        <is>
          <t>hours/yr</t>
        </is>
      </c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6" t="inlineStr">
        <is>
          <t>SEEA EA Ecosystem Service Account -- Part B: Monetary Use (USD/yr)</t>
        </is>
      </c>
    </row>
    <row r="2">
      <c r="A2" s="17" t="inlineStr">
        <is>
          <t>Who benefits from each service? Assign monetary values to beneficiary sectors.</t>
        </is>
      </c>
    </row>
    <row r="4">
      <c r="A4" s="4" t="inlineStr">
        <is>
          <t>Service</t>
        </is>
      </c>
      <c r="B4" s="4" t="inlineStr">
        <is>
          <t>Valuation method</t>
        </is>
      </c>
      <c r="C4" s="4" t="inlineStr">
        <is>
          <t>Fisheries sector</t>
        </is>
      </c>
      <c r="D4" s="4" t="inlineStr">
        <is>
          <t>Tourism sector</t>
        </is>
      </c>
      <c r="E4" s="4" t="inlineStr">
        <is>
          <t>Coastal households</t>
        </is>
      </c>
      <c r="F4" s="4" t="inlineStr">
        <is>
          <t>Government</t>
        </is>
      </c>
      <c r="G4" s="4" t="inlineStr">
        <is>
          <t>Global community</t>
        </is>
      </c>
      <c r="H4" s="4" t="inlineStr">
        <is>
          <t>Total</t>
        </is>
      </c>
    </row>
    <row r="5">
      <c r="A5" s="5" t="inlineStr">
        <is>
          <t>Fish provisioning</t>
        </is>
      </c>
      <c r="B5" s="20" t="n"/>
      <c r="C5" s="7" t="n"/>
      <c r="D5" s="7" t="n"/>
      <c r="E5" s="7" t="n"/>
      <c r="F5" s="7" t="n"/>
      <c r="G5" s="7" t="n"/>
      <c r="H5" s="9">
        <f>SUM(C5:G5)</f>
        <v/>
      </c>
    </row>
    <row r="6">
      <c r="A6" s="5" t="inlineStr">
        <is>
          <t>Carbon sequestration</t>
        </is>
      </c>
      <c r="B6" s="20" t="n"/>
      <c r="C6" s="7" t="n"/>
      <c r="D6" s="7" t="n"/>
      <c r="E6" s="7" t="n"/>
      <c r="F6" s="7" t="n"/>
      <c r="G6" s="7" t="n"/>
      <c r="H6" s="9">
        <f>SUM(C6:G6)</f>
        <v/>
      </c>
    </row>
    <row r="7">
      <c r="A7" s="5" t="inlineStr">
        <is>
          <t>Coastal protection</t>
        </is>
      </c>
      <c r="B7" s="20" t="n"/>
      <c r="C7" s="7" t="n"/>
      <c r="D7" s="7" t="n"/>
      <c r="E7" s="7" t="n"/>
      <c r="F7" s="7" t="n"/>
      <c r="G7" s="7" t="n"/>
      <c r="H7" s="9">
        <f>SUM(C7:G7)</f>
        <v/>
      </c>
    </row>
    <row r="8">
      <c r="A8" s="5" t="inlineStr">
        <is>
          <t>Nursery habitat</t>
        </is>
      </c>
      <c r="B8" s="20" t="n"/>
      <c r="C8" s="7" t="n"/>
      <c r="D8" s="7" t="n"/>
      <c r="E8" s="7" t="n"/>
      <c r="F8" s="7" t="n"/>
      <c r="G8" s="7" t="n"/>
      <c r="H8" s="9">
        <f>SUM(C8:G8)</f>
        <v/>
      </c>
    </row>
    <row r="9">
      <c r="A9" s="5" t="inlineStr">
        <is>
          <t>Recreation</t>
        </is>
      </c>
      <c r="B9" s="20" t="n"/>
      <c r="C9" s="7" t="n"/>
      <c r="D9" s="7" t="n"/>
      <c r="E9" s="7" t="n"/>
      <c r="F9" s="7" t="n"/>
      <c r="G9" s="7" t="n"/>
      <c r="H9" s="9">
        <f>SUM(C9:G9)</f>
        <v/>
      </c>
    </row>
    <row r="10">
      <c r="A10" s="5" t="inlineStr">
        <is>
          <t>Gleaning</t>
        </is>
      </c>
      <c r="B10" s="20" t="n"/>
      <c r="C10" s="7" t="n"/>
      <c r="D10" s="7" t="n"/>
      <c r="E10" s="7" t="n"/>
      <c r="F10" s="7" t="n"/>
      <c r="G10" s="7" t="n"/>
      <c r="H10" s="9">
        <f>SUM(C10:G10)</f>
        <v/>
      </c>
    </row>
    <row r="11">
      <c r="A11" s="5" t="inlineStr">
        <is>
          <t>TOTAL</t>
        </is>
      </c>
      <c r="B11" s="19" t="n"/>
      <c r="C11" s="9">
        <f>SUM(C5:C10)</f>
        <v/>
      </c>
      <c r="D11" s="9">
        <f>SUM(D5:D10)</f>
        <v/>
      </c>
      <c r="E11" s="9">
        <f>SUM(E5:E10)</f>
        <v/>
      </c>
      <c r="F11" s="9">
        <f>SUM(F5:F10)</f>
        <v/>
      </c>
      <c r="G11" s="9">
        <f>SUM(G5:G10)</f>
        <v/>
      </c>
      <c r="H11" s="9">
        <f>SUM(H5:H10)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>
      <c r="A1" s="1" t="inlineStr">
        <is>
          <t>Quick Calculation Helpers</t>
        </is>
      </c>
    </row>
    <row r="3">
      <c r="A3" s="10" t="inlineStr">
        <is>
          <t>Carbon Sequestration Calculator</t>
        </is>
      </c>
    </row>
    <row r="4">
      <c r="A4" s="4" t="inlineStr">
        <is>
          <t>Ecosystem</t>
        </is>
      </c>
      <c r="B4" s="4" t="inlineStr">
        <is>
          <t>Extent (ha)</t>
        </is>
      </c>
      <c r="C4" s="4" t="inlineStr">
        <is>
          <t>NCP rate
(tonnes CO2/ha/yr)</t>
        </is>
      </c>
      <c r="D4" s="4" t="inlineStr">
        <is>
          <t>Physical supply
(tonnes CO2/yr)</t>
        </is>
      </c>
      <c r="E4" s="4" t="inlineStr">
        <is>
          <t>Carbon price
(USD/tonnes CO2)</t>
        </is>
      </c>
      <c r="F4" s="4" t="inlineStr">
        <is>
          <t>Value
(USD/yr)</t>
        </is>
      </c>
    </row>
    <row r="5">
      <c r="A5" s="5" t="inlineStr">
        <is>
          <t>Mangroves</t>
        </is>
      </c>
      <c r="B5" s="7" t="n"/>
      <c r="C5" s="8" t="n">
        <v>3.7</v>
      </c>
      <c r="D5" s="8">
        <f>B5*C5</f>
        <v/>
      </c>
      <c r="E5" s="8" t="n">
        <v>51</v>
      </c>
      <c r="F5" s="8">
        <f>D5*E5</f>
        <v/>
      </c>
    </row>
    <row r="6">
      <c r="A6" s="5" t="inlineStr">
        <is>
          <t>Seagrass</t>
        </is>
      </c>
      <c r="B6" s="7" t="n"/>
      <c r="C6" s="8" t="n">
        <v>1.3</v>
      </c>
      <c r="D6" s="8">
        <f>B6*C6</f>
        <v/>
      </c>
      <c r="E6" s="8" t="n">
        <v>51</v>
      </c>
      <c r="F6" s="8">
        <f>D6*E6</f>
        <v/>
      </c>
    </row>
    <row r="9">
      <c r="A9" s="10" t="inlineStr">
        <is>
          <t>Resource Rent Calculator (Fish Provisioning)</t>
        </is>
      </c>
    </row>
    <row r="10">
      <c r="A10" s="11" t="inlineStr">
        <is>
          <t>Total catch (kg/yr)</t>
        </is>
      </c>
      <c r="B10" s="7" t="n"/>
    </row>
    <row r="11">
      <c r="A11" s="11" t="inlineStr">
        <is>
          <t>Average price (USD/kg)</t>
        </is>
      </c>
      <c r="B11" s="7" t="n"/>
    </row>
    <row r="12">
      <c r="A12" s="11" t="inlineStr">
        <is>
          <t>Gross revenue (USD/yr)</t>
        </is>
      </c>
      <c r="B12" s="7">
        <f>B10*B11</f>
        <v/>
      </c>
    </row>
    <row r="13">
      <c r="A13" s="11" t="inlineStr">
        <is>
          <t>Labour costs (USD/yr)</t>
        </is>
      </c>
      <c r="B13" s="7" t="n"/>
    </row>
    <row r="14">
      <c r="A14" s="11" t="inlineStr">
        <is>
          <t>Fuel costs (USD/yr)</t>
        </is>
      </c>
      <c r="B14" s="7" t="n"/>
    </row>
    <row r="15">
      <c r="A15" s="11" t="inlineStr">
        <is>
          <t>Gear and maintenance (USD/yr)</t>
        </is>
      </c>
      <c r="B15" s="7" t="n"/>
    </row>
    <row r="16">
      <c r="A16" s="11" t="inlineStr">
        <is>
          <t>Capital depreciation (USD/yr)</t>
        </is>
      </c>
      <c r="B16" s="7" t="n"/>
    </row>
    <row r="17">
      <c r="A17" s="11" t="inlineStr">
        <is>
          <t>Total costs (USD/yr)</t>
        </is>
      </c>
      <c r="B17" s="7">
        <f>SUM(B13:B16)</f>
        <v/>
      </c>
    </row>
    <row r="18">
      <c r="A18" s="11" t="inlineStr">
        <is>
          <t>Resource rent (USD/yr)</t>
        </is>
      </c>
      <c r="B18" s="7">
        <f>MAX(B12-B17,0)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1" t="inlineStr">
        <is>
          <t>GVA</t>
        </is>
      </c>
      <c r="B4" s="14" t="inlineStr">
        <is>
          <t>Gross Value Added</t>
        </is>
      </c>
      <c r="C4" s="15" t="inlineStr">
        <is>
          <t>Total output minus intermediate consumption. The value an industry adds to the economy.</t>
        </is>
      </c>
      <c r="D4" s="14" t="inlineStr">
        <is>
          <t>Currency (e.g., USD, local currency)</t>
        </is>
      </c>
    </row>
    <row r="5">
      <c r="A5" s="11" t="inlineStr">
        <is>
          <t>GDP</t>
        </is>
      </c>
      <c r="B5" s="14" t="inlineStr">
        <is>
          <t>Gross Domestic Product</t>
        </is>
      </c>
      <c r="C5" s="15" t="inlineStr">
        <is>
          <t>Total value of goods and services produced in a country. Sum of GVA across all industries plus taxes minus subsidies.</t>
        </is>
      </c>
      <c r="D5" s="14" t="inlineStr">
        <is>
          <t>Currency</t>
        </is>
      </c>
    </row>
    <row r="6">
      <c r="A6" s="11" t="inlineStr">
        <is>
          <t>IC</t>
        </is>
      </c>
      <c r="B6" s="14" t="inlineStr">
        <is>
          <t>Intermediate Consumption</t>
        </is>
      </c>
      <c r="C6" s="15" t="inlineStr">
        <is>
          <t>The value of goods and services consumed as inputs during production (e.g., fuel, raw materials, purchased services). Does not include fixed assets.</t>
        </is>
      </c>
      <c r="D6" s="14" t="inlineStr">
        <is>
          <t>Currency</t>
        </is>
      </c>
    </row>
    <row r="7">
      <c r="A7" s="11" t="inlineStr">
        <is>
          <t>Output</t>
        </is>
      </c>
      <c r="B7" s="14" t="inlineStr">
        <is>
          <t>Gross Output</t>
        </is>
      </c>
      <c r="C7" s="15" t="inlineStr">
        <is>
          <t>Total value of goods and services produced by an industry before deducting input costs. Also called gross sales or turnover.</t>
        </is>
      </c>
      <c r="D7" s="14" t="inlineStr">
        <is>
          <t>Currency</t>
        </is>
      </c>
    </row>
    <row r="8">
      <c r="A8" s="11" t="inlineStr">
        <is>
          <t>SUT</t>
        </is>
      </c>
      <c r="B8" s="14" t="inlineStr">
        <is>
          <t>Supply-Use Tables</t>
        </is>
      </c>
      <c r="C8" s="15" t="inlineStr">
        <is>
          <t>Statistical tables from the national accounts showing what each industry produces (supply) and what each industry consumes (use). Published by the National Statistical Office.</t>
        </is>
      </c>
      <c r="D8" s="14" t="inlineStr"/>
    </row>
    <row r="9">
      <c r="A9" s="11" t="inlineStr">
        <is>
          <t>SNA</t>
        </is>
      </c>
      <c r="B9" s="14" t="inlineStr">
        <is>
          <t>System of National Accounts</t>
        </is>
      </c>
      <c r="C9" s="15" t="inlineStr">
        <is>
          <t>The international statistical standard for measuring economic activity. Published by the UN. The basis for GDP calculation.</t>
        </is>
      </c>
      <c r="D9" s="14" t="inlineStr"/>
    </row>
    <row r="10">
      <c r="A10" s="11" t="inlineStr">
        <is>
          <t>SEEA-EA</t>
        </is>
      </c>
      <c r="B10" s="14" t="inlineStr">
        <is>
          <t>System of Environmental-Economic Accounting - Ecosystem Accounting</t>
        </is>
      </c>
      <c r="C10" s="15" t="inlineStr">
        <is>
          <t>The international statistical standard for measuring ecosystems, their condition, and the services they provide.</t>
        </is>
      </c>
      <c r="D10" s="14" t="inlineStr"/>
    </row>
    <row r="11">
      <c r="A11" s="11" t="inlineStr">
        <is>
          <t>OESA</t>
        </is>
      </c>
      <c r="B11" s="14" t="inlineStr">
        <is>
          <t>Ocean Economy Satellite Account</t>
        </is>
      </c>
      <c r="C11" s="15" t="inlineStr">
        <is>
          <t>A satellite account that reorganizes national accounts to identify the market-based ocean economy. Reports GDP-compatible indicators.</t>
        </is>
      </c>
      <c r="D11" s="14" t="inlineStr"/>
    </row>
    <row r="12">
      <c r="A12" s="11" t="inlineStr">
        <is>
          <t>OTSA</t>
        </is>
      </c>
      <c r="B12" s="14" t="inlineStr">
        <is>
          <t>Ocean Tourism Satellite Account</t>
        </is>
      </c>
      <c r="C12" s="15" t="inlineStr">
        <is>
          <t>A satellite account focused on coastal and marine tourism's economic contribution. A subset of OESA.</t>
        </is>
      </c>
      <c r="D12" s="14" t="inlineStr"/>
    </row>
    <row r="13">
      <c r="A13" s="11" t="inlineStr">
        <is>
          <t>Partial</t>
        </is>
      </c>
      <c r="B13" s="14" t="inlineStr">
        <is>
          <t>Ocean Economy Partial</t>
        </is>
      </c>
      <c r="C13" s="15" t="inlineStr">
        <is>
          <t>The share (0 to 1) of a mixed industry's output that is ocean-related. For example, if 30% of construction is coastal, the partial is 0.30.</t>
        </is>
      </c>
      <c r="D13" s="14" t="inlineStr">
        <is>
          <t>Proportion (0 to 1)</t>
        </is>
      </c>
    </row>
    <row r="14">
      <c r="A14" s="11" t="inlineStr">
        <is>
          <t>CI</t>
        </is>
      </c>
      <c r="B14" s="14" t="inlineStr">
        <is>
          <t>Condition Index</t>
        </is>
      </c>
      <c r="C14" s="15" t="inlineStr">
        <is>
          <t>A normalized score from 0 (fully degraded) to 1 (reference/healthy condition). Used in SEEA-EA condition accounts.</t>
        </is>
      </c>
      <c r="D14" s="14" t="inlineStr">
        <is>
          <t>Index (0 to 1)</t>
        </is>
      </c>
    </row>
    <row r="15">
      <c r="A15" s="11" t="inlineStr">
        <is>
          <t>NCP</t>
        </is>
      </c>
      <c r="B15" s="14" t="inlineStr">
        <is>
          <t>Net Carbon Production</t>
        </is>
      </c>
      <c r="C15" s="15" t="inlineStr">
        <is>
          <t>The rate at which an ecosystem sequesters carbon dioxide per unit area per year.</t>
        </is>
      </c>
      <c r="D15" s="14" t="inlineStr">
        <is>
          <t>Mg CO2/ha/yr</t>
        </is>
      </c>
    </row>
    <row r="16">
      <c r="A16" s="11" t="inlineStr">
        <is>
          <t>SCC</t>
        </is>
      </c>
      <c r="B16" s="14" t="inlineStr">
        <is>
          <t>Social Cost of Carbon</t>
        </is>
      </c>
      <c r="C16" s="15" t="inlineStr">
        <is>
          <t>An estimate of the economic damage caused by emitting one additional tonne of CO2. Used to value carbon sequestration.</t>
        </is>
      </c>
      <c r="D16" s="14" t="inlineStr">
        <is>
          <t>USD per Mg CO2</t>
        </is>
      </c>
    </row>
    <row r="17">
      <c r="A17" s="11" t="inlineStr">
        <is>
          <t>Mg CO2</t>
        </is>
      </c>
      <c r="B17" s="14" t="inlineStr">
        <is>
          <t>Megagrams of CO2</t>
        </is>
      </c>
      <c r="C17" s="15" t="inlineStr">
        <is>
          <t>Metric tonnes of carbon dioxide. 1 Mg = 1 tonne = 1,000 kg.</t>
        </is>
      </c>
      <c r="D17" s="14" t="inlineStr">
        <is>
          <t>Mass</t>
        </is>
      </c>
    </row>
    <row r="18">
      <c r="A18" s="11" t="inlineStr">
        <is>
          <t>ha</t>
        </is>
      </c>
      <c r="B18" s="14" t="inlineStr">
        <is>
          <t>Hectares</t>
        </is>
      </c>
      <c r="C18" s="15" t="inlineStr">
        <is>
          <t>Unit of area. 1 hectare = 10,000 square metres = 0.01 square kilometres.</t>
        </is>
      </c>
      <c r="D18" s="14" t="inlineStr">
        <is>
          <t>Area</t>
        </is>
      </c>
    </row>
    <row r="19">
      <c r="A19" s="11" t="inlineStr">
        <is>
          <t>kg/yr</t>
        </is>
      </c>
      <c r="B19" s="14" t="inlineStr">
        <is>
          <t>Kilograms per year</t>
        </is>
      </c>
      <c r="C19" s="15" t="inlineStr">
        <is>
          <t>Physical quantity measured in kilograms over one year.</t>
        </is>
      </c>
      <c r="D19" s="14" t="inlineStr">
        <is>
          <t>Mass per time</t>
        </is>
      </c>
    </row>
    <row r="20">
      <c r="A20" s="11" t="inlineStr">
        <is>
          <t>USD million</t>
        </is>
      </c>
      <c r="B20" s="14" t="inlineStr">
        <is>
          <t>United States Dollars, millions</t>
        </is>
      </c>
      <c r="C20" s="15" t="inlineStr">
        <is>
          <t>Monetary values expressed in millions of US dollars. For example, USD 132.5 million = USD 132,500,000.</t>
        </is>
      </c>
      <c r="D20" s="14" t="inlineStr">
        <is>
          <t>Currency</t>
        </is>
      </c>
    </row>
    <row r="21">
      <c r="A21" s="11" t="inlineStr">
        <is>
          <t>R million</t>
        </is>
      </c>
      <c r="B21" s="14" t="inlineStr">
        <is>
          <t>South African Rand, millions</t>
        </is>
      </c>
      <c r="C21" s="15" t="inlineStr">
        <is>
          <t>Monetary values in the South Africa example are in millions of Rand.</t>
        </is>
      </c>
      <c r="D21" s="14" t="inlineStr">
        <is>
          <t>Currency</t>
        </is>
      </c>
    </row>
    <row r="22">
      <c r="A22" s="11" t="inlineStr">
        <is>
          <t>ISIC</t>
        </is>
      </c>
      <c r="B22" s="14" t="inlineStr">
        <is>
          <t>International Standard Industrial Classification</t>
        </is>
      </c>
      <c r="C22" s="15" t="inlineStr">
        <is>
          <t>The UN classification system for economic activities. Used to map industries to ocean economy groups.</t>
        </is>
      </c>
      <c r="D22" s="14" t="inlineStr"/>
    </row>
    <row r="23">
      <c r="A23" s="11" t="inlineStr">
        <is>
          <t>SIC</t>
        </is>
      </c>
      <c r="B23" s="14" t="inlineStr">
        <is>
          <t>Standard Industrial Classification</t>
        </is>
      </c>
      <c r="C23" s="15" t="inlineStr">
        <is>
          <t>National classification system for economic activities. Varies by country but based on ISIC.</t>
        </is>
      </c>
      <c r="D23" s="14" t="inlineStr"/>
    </row>
    <row r="24">
      <c r="A24" s="11" t="inlineStr">
        <is>
          <t>EEZ</t>
        </is>
      </c>
      <c r="B24" s="14" t="inlineStr">
        <is>
          <t>Exclusive Economic Zone</t>
        </is>
      </c>
      <c r="C24" s="15" t="inlineStr">
        <is>
          <t>Maritime zone extending 200 nautical miles from a country's coastline, within which the country has rights to marine resources.</t>
        </is>
      </c>
      <c r="D24" s="14" t="inlineStr"/>
    </row>
    <row r="25">
      <c r="A25" s="11" t="inlineStr">
        <is>
          <t>RAG</t>
        </is>
      </c>
      <c r="B25" s="14" t="inlineStr">
        <is>
          <t>Red-Amber-Green</t>
        </is>
      </c>
      <c r="C25" s="15" t="inlineStr">
        <is>
          <t>A confidence rating system. Green = high confidence (direct evidence). Amber = moderate (proxy data). Red = low (sparse evidence).</t>
        </is>
      </c>
      <c r="D25" s="1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Combined Physical Supply and Use Table</t>
        </is>
      </c>
    </row>
    <row r="2">
      <c r="A2" s="21" t="n"/>
      <c r="B2" s="21" t="n"/>
      <c r="C2" s="4" t="inlineStr">
        <is>
          <t>SUPPLY (by ecosystem)</t>
        </is>
      </c>
      <c r="D2" s="22" t="n"/>
      <c r="E2" s="22" t="n"/>
      <c r="F2" s="22" t="n"/>
      <c r="G2" s="23" t="inlineStr">
        <is>
          <t>USE (by beneficiary)</t>
        </is>
      </c>
      <c r="H2" s="21" t="n"/>
      <c r="I2" s="21" t="n"/>
      <c r="J2" s="21" t="n"/>
      <c r="K2" s="21" t="n"/>
      <c r="L2" s="21" t="n"/>
    </row>
    <row r="3">
      <c r="A3" s="24" t="inlineStr">
        <is>
          <t>Service</t>
        </is>
      </c>
      <c r="B3" s="4" t="inlineStr">
        <is>
          <t>Unit</t>
        </is>
      </c>
      <c r="C3" s="25" t="inlineStr">
        <is>
          <t>Coral reefs</t>
        </is>
      </c>
      <c r="D3" s="25" t="inlineStr">
        <is>
          <t>Seagrass</t>
        </is>
      </c>
      <c r="E3" s="25" t="inlineStr">
        <is>
          <t>Mangroves</t>
        </is>
      </c>
      <c r="F3" s="25" t="inlineStr">
        <is>
          <t>Total supply</t>
        </is>
      </c>
      <c r="G3" s="26" t="inlineStr">
        <is>
          <t>Fisheries</t>
        </is>
      </c>
      <c r="H3" s="26" t="inlineStr">
        <is>
          <t>Tourism</t>
        </is>
      </c>
      <c r="I3" s="26" t="inlineStr">
        <is>
          <t>Coastal HH</t>
        </is>
      </c>
      <c r="J3" s="26" t="inlineStr">
        <is>
          <t>Govt</t>
        </is>
      </c>
      <c r="K3" s="26" t="inlineStr">
        <is>
          <t>Global</t>
        </is>
      </c>
      <c r="L3" s="26" t="inlineStr">
        <is>
          <t>Total use</t>
        </is>
      </c>
    </row>
    <row r="4">
      <c r="A4" s="5" t="inlineStr">
        <is>
          <t>Fish provisioning</t>
        </is>
      </c>
      <c r="B4" s="27" t="inlineStr">
        <is>
          <t>kg/yr</t>
        </is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</row>
    <row r="5">
      <c r="A5" s="5" t="inlineStr">
        <is>
          <t>Carbon sequestration</t>
        </is>
      </c>
      <c r="B5" s="27" t="inlineStr">
        <is>
          <t>Mg CO2/yr</t>
        </is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5" t="inlineStr">
        <is>
          <t>Coastal protection</t>
        </is>
      </c>
      <c r="B6" s="27" t="inlineStr">
        <is>
          <t>m coastline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5" t="inlineStr">
        <is>
          <t>Nursery habitat</t>
        </is>
      </c>
      <c r="B7" s="27" t="inlineStr">
        <is>
          <t>kg/yr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5" t="inlineStr">
        <is>
          <t>Recreation</t>
        </is>
      </c>
      <c r="B8" s="27" t="inlineStr">
        <is>
          <t>visitors/yr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5" t="inlineStr">
        <is>
          <t>Gleaning</t>
        </is>
      </c>
      <c r="B9" s="27" t="inlineStr">
        <is>
          <t>hours/yr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2">
      <c r="A12" s="28" t="inlineStr">
        <is>
          <t>Note: Total supply must equal Total use for each service (accounting identity)</t>
        </is>
      </c>
    </row>
    <row r="14">
      <c r="A14" s="1" t="inlineStr">
        <is>
          <t>Combined Monetary Supply and Use Table (USD/yr)</t>
        </is>
      </c>
    </row>
    <row r="15">
      <c r="A15" s="21" t="n"/>
      <c r="B15" s="21" t="n"/>
      <c r="C15" s="4" t="inlineStr">
        <is>
          <t>SUPPLY (by ecosystem)</t>
        </is>
      </c>
      <c r="D15" s="22" t="n"/>
      <c r="E15" s="22" t="n"/>
      <c r="F15" s="22" t="n"/>
      <c r="G15" s="23" t="inlineStr">
        <is>
          <t>USE (by beneficiary)</t>
        </is>
      </c>
      <c r="H15" s="21" t="n"/>
      <c r="I15" s="21" t="n"/>
      <c r="J15" s="21" t="n"/>
      <c r="K15" s="21" t="n"/>
      <c r="L15" s="21" t="n"/>
    </row>
    <row r="16">
      <c r="A16" s="24" t="inlineStr">
        <is>
          <t>Service</t>
        </is>
      </c>
      <c r="B16" s="4" t="inlineStr">
        <is>
          <t>Unit</t>
        </is>
      </c>
      <c r="C16" s="25" t="inlineStr">
        <is>
          <t>Coral reefs</t>
        </is>
      </c>
      <c r="D16" s="25" t="inlineStr">
        <is>
          <t>Seagrass</t>
        </is>
      </c>
      <c r="E16" s="25" t="inlineStr">
        <is>
          <t>Mangroves</t>
        </is>
      </c>
      <c r="F16" s="25" t="inlineStr">
        <is>
          <t>Total supply</t>
        </is>
      </c>
      <c r="G16" s="26" t="inlineStr">
        <is>
          <t>Fisheries</t>
        </is>
      </c>
      <c r="H16" s="26" t="inlineStr">
        <is>
          <t>Tourism</t>
        </is>
      </c>
      <c r="I16" s="26" t="inlineStr">
        <is>
          <t>Coastal HH</t>
        </is>
      </c>
      <c r="J16" s="26" t="inlineStr">
        <is>
          <t>Govt</t>
        </is>
      </c>
      <c r="K16" s="26" t="inlineStr">
        <is>
          <t>Global</t>
        </is>
      </c>
      <c r="L16" s="26" t="inlineStr">
        <is>
          <t>Total use</t>
        </is>
      </c>
    </row>
    <row r="17">
      <c r="A17" s="5" t="inlineStr">
        <is>
          <t>Fish provisioning</t>
        </is>
      </c>
      <c r="B17" s="27" t="inlineStr">
        <is>
          <t>USD/yr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5" t="inlineStr">
        <is>
          <t>Carbon sequestration</t>
        </is>
      </c>
      <c r="B18" s="27" t="inlineStr">
        <is>
          <t>USD/yr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5" t="inlineStr">
        <is>
          <t>Coastal protection</t>
        </is>
      </c>
      <c r="B19" s="27" t="inlineStr">
        <is>
          <t>USD/yr</t>
        </is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5" t="inlineStr">
        <is>
          <t>Nursery habitat</t>
        </is>
      </c>
      <c r="B20" s="27" t="inlineStr">
        <is>
          <t>USD/yr</t>
        </is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5" t="inlineStr">
        <is>
          <t>Recreation</t>
        </is>
      </c>
      <c r="B21" s="27" t="inlineStr">
        <is>
          <t>USD/yr</t>
        </is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5" t="inlineStr">
        <is>
          <t>Gleaning</t>
        </is>
      </c>
      <c r="B22" s="27" t="inlineStr">
        <is>
          <t>USD/yr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</sheetData>
  <mergeCells count="7">
    <mergeCell ref="G15:L15"/>
    <mergeCell ref="G2:L2"/>
    <mergeCell ref="A1:L1"/>
    <mergeCell ref="A14:L14"/>
    <mergeCell ref="C15:F15"/>
    <mergeCell ref="C2:F2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2026-03-26T03:36:51Z</dcterms:modified>
</cp:coreProperties>
</file>