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 A - Physical Supply" sheetId="1" state="visible" r:id="rId1"/>
    <sheet xmlns:r="http://schemas.openxmlformats.org/officeDocument/2006/relationships" name="Part B - Monetary Supply" sheetId="2" state="visible" r:id="rId2"/>
    <sheet xmlns:r="http://schemas.openxmlformats.org/officeDocument/2006/relationships" name="Carbon Calculator" sheetId="3" state="visible" r:id="rId3"/>
    <sheet xmlns:r="http://schemas.openxmlformats.org/officeDocument/2006/relationships" name="Resource Rent Calculator" sheetId="4" state="visible" r:id="rId4"/>
    <sheet xmlns:r="http://schemas.openxmlformats.org/officeDocument/2006/relationships" name="Instru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color rgb="003B9C7B"/>
      <sz val="11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b val="1"/>
      <color rgb="0030302F"/>
      <sz val="10"/>
    </font>
    <font>
      <name val="Arial"/>
      <b val="1"/>
      <color rgb="000A5455"/>
      <sz val="12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7" fillId="0" borderId="0" pivotButton="0" quotePrefix="0" xfId="0"/>
    <xf numFmtId="0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B9C7B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SEEA EA Ecosystem Service Account -- Part A: Physical Supply</t>
        </is>
      </c>
    </row>
    <row r="2">
      <c r="A2" s="2" t="inlineStr">
        <is>
          <t>Part A is a complete account on its own. Monetary valuation (Part B) is optional.</t>
        </is>
      </c>
    </row>
    <row r="4">
      <c r="A4" s="3" t="inlineStr">
        <is>
          <t>Accounting area:</t>
        </is>
      </c>
      <c r="B4" s="4" t="n"/>
    </row>
    <row r="5">
      <c r="A5" s="3" t="inlineStr">
        <is>
          <t>Accounting year:</t>
        </is>
      </c>
      <c r="B5" s="4" t="n"/>
    </row>
    <row r="7">
      <c r="A7" s="5" t="inlineStr">
        <is>
          <t>Service</t>
        </is>
      </c>
      <c r="B7" s="5" t="inlineStr">
        <is>
          <t>Unit</t>
        </is>
      </c>
      <c r="C7" s="5" t="inlineStr">
        <is>
          <t>Coral reefs</t>
        </is>
      </c>
      <c r="D7" s="5" t="inlineStr">
        <is>
          <t>Seagrass</t>
        </is>
      </c>
      <c r="E7" s="5" t="inlineStr">
        <is>
          <t>Mangroves</t>
        </is>
      </c>
      <c r="F7" s="5" t="inlineStr">
        <is>
          <t>Other</t>
        </is>
      </c>
      <c r="G7" s="5" t="inlineStr">
        <is>
          <t>Total</t>
        </is>
      </c>
    </row>
    <row r="8">
      <c r="A8" s="6" t="inlineStr">
        <is>
          <t>Fish provisioning</t>
        </is>
      </c>
      <c r="B8" s="7" t="inlineStr">
        <is>
          <t>kg/yr</t>
        </is>
      </c>
      <c r="C8" s="8" t="n"/>
      <c r="D8" s="8" t="n"/>
      <c r="E8" s="8" t="n"/>
      <c r="F8" s="8" t="n"/>
      <c r="G8" s="9">
        <f>SUM(C8:F8)</f>
        <v/>
      </c>
    </row>
    <row r="9">
      <c r="A9" s="6" t="inlineStr">
        <is>
          <t>Carbon sequestration</t>
        </is>
      </c>
      <c r="B9" s="7" t="inlineStr">
        <is>
          <t>Mg CO2/yr</t>
        </is>
      </c>
      <c r="C9" s="8" t="n"/>
      <c r="D9" s="8" t="n"/>
      <c r="E9" s="8" t="n"/>
      <c r="F9" s="8" t="n"/>
      <c r="G9" s="9">
        <f>SUM(C9:F9)</f>
        <v/>
      </c>
    </row>
    <row r="10">
      <c r="A10" s="6" t="inlineStr">
        <is>
          <t>Coastal protection</t>
        </is>
      </c>
      <c r="B10" s="7" t="inlineStr">
        <is>
          <t>m coastline</t>
        </is>
      </c>
      <c r="C10" s="8" t="n"/>
      <c r="D10" s="8" t="n"/>
      <c r="E10" s="8" t="n"/>
      <c r="F10" s="8" t="n"/>
      <c r="G10" s="9">
        <f>SUM(C10:F10)</f>
        <v/>
      </c>
    </row>
    <row r="11">
      <c r="A11" s="6" t="inlineStr">
        <is>
          <t>Nursery habitat</t>
        </is>
      </c>
      <c r="B11" s="7" t="inlineStr">
        <is>
          <t>kg biomass/yr</t>
        </is>
      </c>
      <c r="C11" s="8" t="n"/>
      <c r="D11" s="8" t="n"/>
      <c r="E11" s="8" t="n"/>
      <c r="F11" s="8" t="n"/>
      <c r="G11" s="9">
        <f>SUM(C11:F11)</f>
        <v/>
      </c>
    </row>
    <row r="12">
      <c r="A12" s="6" t="inlineStr">
        <is>
          <t>Recreation</t>
        </is>
      </c>
      <c r="B12" s="7" t="inlineStr">
        <is>
          <t>visitors/yr</t>
        </is>
      </c>
      <c r="C12" s="8" t="n"/>
      <c r="D12" s="8" t="n"/>
      <c r="E12" s="8" t="n"/>
      <c r="F12" s="8" t="n"/>
      <c r="G12" s="9">
        <f>SUM(C12:F12)</f>
        <v/>
      </c>
    </row>
    <row r="13">
      <c r="A13" s="6" t="inlineStr">
        <is>
          <t>Gleaning</t>
        </is>
      </c>
      <c r="B13" s="7" t="inlineStr">
        <is>
          <t>hours/yr</t>
        </is>
      </c>
      <c r="C13" s="8" t="n"/>
      <c r="D13" s="8" t="n"/>
      <c r="E13" s="8" t="n"/>
      <c r="F13" s="8" t="n"/>
      <c r="G13" s="9">
        <f>SUM(C13:F13)</f>
        <v/>
      </c>
    </row>
    <row r="14">
      <c r="A14" s="6" t="inlineStr">
        <is>
          <t>Gleaning harvest</t>
        </is>
      </c>
      <c r="B14" s="7" t="inlineStr">
        <is>
          <t>kg/yr</t>
        </is>
      </c>
      <c r="C14" s="8" t="n"/>
      <c r="D14" s="8" t="n"/>
      <c r="E14" s="8" t="n"/>
      <c r="F14" s="8" t="n"/>
      <c r="G14" s="9">
        <f>SUM(C14:F14)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A5455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SEEA EA Ecosystem Service Account -- Part B: Monetary Supply (USD/yr)</t>
        </is>
      </c>
    </row>
    <row r="2">
      <c r="A2" s="2" t="inlineStr">
        <is>
          <t>Part B builds on Part A. Only fill in services where you have economic data.</t>
        </is>
      </c>
    </row>
    <row r="4">
      <c r="A4" s="5" t="inlineStr">
        <is>
          <t>Service</t>
        </is>
      </c>
      <c r="B4" s="5" t="inlineStr">
        <is>
          <t>Valuation method</t>
        </is>
      </c>
      <c r="C4" s="5" t="inlineStr">
        <is>
          <t>Value type</t>
        </is>
      </c>
      <c r="D4" s="5" t="inlineStr">
        <is>
          <t>Coral reefs</t>
        </is>
      </c>
      <c r="E4" s="5" t="inlineStr">
        <is>
          <t>Seagrass</t>
        </is>
      </c>
      <c r="F4" s="5" t="inlineStr">
        <is>
          <t>Mangroves</t>
        </is>
      </c>
      <c r="G4" s="5" t="inlineStr">
        <is>
          <t>Other</t>
        </is>
      </c>
      <c r="H4" s="5" t="inlineStr">
        <is>
          <t>Total</t>
        </is>
      </c>
    </row>
    <row r="5">
      <c r="A5" s="6" t="inlineStr">
        <is>
          <t>Fish provisioning</t>
        </is>
      </c>
      <c r="B5" s="7" t="inlineStr">
        <is>
          <t>Resource rent</t>
        </is>
      </c>
      <c r="C5" s="7" t="inlineStr">
        <is>
          <t>Market</t>
        </is>
      </c>
      <c r="D5" s="8" t="n"/>
      <c r="E5" s="8" t="n"/>
      <c r="F5" s="8" t="n"/>
      <c r="G5" s="8" t="n"/>
      <c r="H5" s="9">
        <f>SUM(D5:G5)</f>
        <v/>
      </c>
    </row>
    <row r="6">
      <c r="A6" s="6" t="inlineStr">
        <is>
          <t>Carbon sequestration</t>
        </is>
      </c>
      <c r="B6" s="7" t="inlineStr">
        <is>
          <t>Social cost of carbon</t>
        </is>
      </c>
      <c r="C6" s="7" t="inlineStr">
        <is>
          <t>Non-market</t>
        </is>
      </c>
      <c r="D6" s="8" t="n"/>
      <c r="E6" s="8" t="n"/>
      <c r="F6" s="8" t="n"/>
      <c r="G6" s="8" t="n"/>
      <c r="H6" s="9">
        <f>SUM(D6:G6)</f>
        <v/>
      </c>
    </row>
    <row r="7">
      <c r="A7" s="6" t="inlineStr">
        <is>
          <t>Coastal protection</t>
        </is>
      </c>
      <c r="B7" s="7" t="inlineStr">
        <is>
          <t>Replacement cost</t>
        </is>
      </c>
      <c r="C7" s="7" t="inlineStr">
        <is>
          <t>Non-market</t>
        </is>
      </c>
      <c r="D7" s="8" t="n"/>
      <c r="E7" s="8" t="n"/>
      <c r="F7" s="8" t="n"/>
      <c r="G7" s="8" t="n"/>
      <c r="H7" s="9">
        <f>SUM(D7:G7)</f>
        <v/>
      </c>
    </row>
    <row r="8">
      <c r="A8" s="6" t="inlineStr">
        <is>
          <t>Nursery habitat</t>
        </is>
      </c>
      <c r="B8" s="7" t="inlineStr">
        <is>
          <t>Productivity change</t>
        </is>
      </c>
      <c r="C8" s="7" t="inlineStr">
        <is>
          <t>Market (indirect)</t>
        </is>
      </c>
      <c r="D8" s="8" t="n"/>
      <c r="E8" s="8" t="n"/>
      <c r="F8" s="8" t="n"/>
      <c r="G8" s="8" t="n"/>
      <c r="H8" s="9">
        <f>SUM(D8:G8)</f>
        <v/>
      </c>
    </row>
    <row r="9">
      <c r="A9" s="6" t="inlineStr">
        <is>
          <t>Recreation</t>
        </is>
      </c>
      <c r="B9" s="7" t="inlineStr">
        <is>
          <t>Direct expenditure</t>
        </is>
      </c>
      <c r="C9" s="7" t="inlineStr">
        <is>
          <t>Market</t>
        </is>
      </c>
      <c r="D9" s="8" t="n"/>
      <c r="E9" s="8" t="n"/>
      <c r="F9" s="8" t="n"/>
      <c r="G9" s="8" t="n"/>
      <c r="H9" s="9">
        <f>SUM(D9:G9)</f>
        <v/>
      </c>
    </row>
    <row r="10">
      <c r="A10" s="6" t="inlineStr">
        <is>
          <t>Gleaning</t>
        </is>
      </c>
      <c r="B10" s="7" t="inlineStr">
        <is>
          <t>Equivalent wage + market</t>
        </is>
      </c>
      <c r="C10" s="7" t="inlineStr">
        <is>
          <t>Mixed</t>
        </is>
      </c>
      <c r="D10" s="8" t="n"/>
      <c r="E10" s="8" t="n"/>
      <c r="F10" s="8" t="n"/>
      <c r="G10" s="8" t="n"/>
      <c r="H10" s="9">
        <f>SUM(D10:G10)</f>
        <v/>
      </c>
    </row>
    <row r="11">
      <c r="A11" s="6" t="inlineStr">
        <is>
          <t>TOTAL</t>
        </is>
      </c>
      <c r="B11" s="7" t="inlineStr"/>
      <c r="C11" s="7" t="inlineStr"/>
      <c r="D11" s="10">
        <f>SUM(D5:D10)</f>
        <v/>
      </c>
      <c r="E11" s="10">
        <f>SUM(E5:E10)</f>
        <v/>
      </c>
      <c r="F11" s="10">
        <f>SUM(F5:F10)</f>
        <v/>
      </c>
      <c r="G11" s="10">
        <f>SUM(G5:G10)</f>
        <v/>
      </c>
      <c r="H11" s="10">
        <f>SUM(H5:H10)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20" customWidth="1" min="4" max="4"/>
  </cols>
  <sheetData>
    <row r="1">
      <c r="A1" s="1" t="inlineStr">
        <is>
          <t>Carbon Sequestration Calculator</t>
        </is>
      </c>
    </row>
    <row r="2">
      <c r="A2" s="2" t="inlineStr">
        <is>
          <t>Part A: fill extent and NCP rate. Part B: set carbon price.</t>
        </is>
      </c>
    </row>
    <row r="4">
      <c r="A4" s="11" t="inlineStr">
        <is>
          <t>Part A: Physical Quantification</t>
        </is>
      </c>
    </row>
    <row r="5">
      <c r="A5" s="5" t="inlineStr">
        <is>
          <t>Ecosystem</t>
        </is>
      </c>
      <c r="B5" s="5" t="inlineStr">
        <is>
          <t>Extent (ha)</t>
        </is>
      </c>
      <c r="C5" s="5" t="inlineStr">
        <is>
          <t>NCP rate
(Mg CO2/ha/yr)</t>
        </is>
      </c>
      <c r="D5" s="5" t="inlineStr">
        <is>
          <t>Physical supply
(Mg CO2/yr)</t>
        </is>
      </c>
    </row>
    <row r="6">
      <c r="A6" s="6" t="inlineStr">
        <is>
          <t>Mangroves</t>
        </is>
      </c>
      <c r="B6" s="8" t="n"/>
      <c r="C6" s="9" t="n">
        <v>3.7</v>
      </c>
      <c r="D6" s="9">
        <f>B6*C6</f>
        <v/>
      </c>
    </row>
    <row r="7">
      <c r="A7" s="6" t="inlineStr">
        <is>
          <t>Seagrass</t>
        </is>
      </c>
      <c r="B7" s="8" t="n"/>
      <c r="C7" s="9" t="n">
        <v>1.3</v>
      </c>
      <c r="D7" s="9">
        <f>B7*C7</f>
        <v/>
      </c>
    </row>
    <row r="8">
      <c r="A8" s="6" t="inlineStr">
        <is>
          <t>Total</t>
        </is>
      </c>
      <c r="D8" s="10">
        <f>D6+D7</f>
        <v/>
      </c>
    </row>
    <row r="10">
      <c r="A10" s="11" t="inlineStr">
        <is>
          <t>Part B: Monetary Valuation</t>
        </is>
      </c>
    </row>
    <row r="11">
      <c r="A11" s="5" t="inlineStr">
        <is>
          <t>Ecosystem</t>
        </is>
      </c>
      <c r="B11" s="5" t="inlineStr">
        <is>
          <t>Physical supply
(Mg CO2/yr)</t>
        </is>
      </c>
      <c r="C11" s="5" t="inlineStr">
        <is>
          <t>Carbon price
(USD/Mg CO2)</t>
        </is>
      </c>
      <c r="D11" s="5" t="inlineStr">
        <is>
          <t>Value
(USD/yr)</t>
        </is>
      </c>
    </row>
    <row r="12">
      <c r="A12" s="6" t="inlineStr">
        <is>
          <t>Mangroves</t>
        </is>
      </c>
      <c r="B12" s="9">
        <f>D6</f>
        <v/>
      </c>
      <c r="C12" s="9" t="n">
        <v>51</v>
      </c>
      <c r="D12" s="9">
        <f>B12*C12</f>
        <v/>
      </c>
    </row>
    <row r="13">
      <c r="A13" s="6" t="inlineStr">
        <is>
          <t>Seagrass</t>
        </is>
      </c>
      <c r="B13" s="9">
        <f>D7</f>
        <v/>
      </c>
      <c r="C13" s="9" t="n">
        <v>51</v>
      </c>
      <c r="D13" s="9">
        <f>B13*C13</f>
        <v/>
      </c>
    </row>
    <row r="14">
      <c r="A14" s="6" t="inlineStr">
        <is>
          <t>Total</t>
        </is>
      </c>
      <c r="D14" s="10">
        <f>D12+D13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1" t="inlineStr">
        <is>
          <t>Fish Provisioning -- Resource Rent Calculator</t>
        </is>
      </c>
    </row>
    <row r="3">
      <c r="A3" s="11" t="inlineStr">
        <is>
          <t>Part A: Physical Quantification</t>
        </is>
      </c>
    </row>
    <row r="4">
      <c r="A4" s="12" t="inlineStr">
        <is>
          <t>Total catch (kg/yr)</t>
        </is>
      </c>
      <c r="B4" s="8" t="n"/>
    </row>
    <row r="5">
      <c r="A5" s="12" t="inlineStr">
        <is>
          <t>Catch by species 1 (kg/yr)</t>
        </is>
      </c>
      <c r="B5" s="8" t="n"/>
    </row>
    <row r="6">
      <c r="A6" s="12" t="inlineStr">
        <is>
          <t>Catch by species 2 (kg/yr)</t>
        </is>
      </c>
      <c r="B6" s="8" t="n"/>
    </row>
    <row r="7">
      <c r="A7" s="12" t="inlineStr">
        <is>
          <t>Catch by species 3 (kg/yr)</t>
        </is>
      </c>
      <c r="B7" s="8" t="n"/>
    </row>
    <row r="9">
      <c r="A9" s="11" t="inlineStr">
        <is>
          <t>Part B: Monetary Valuation (Resource Rent)</t>
        </is>
      </c>
    </row>
    <row r="10">
      <c r="A10" s="12" t="inlineStr">
        <is>
          <t>Average price (USD/kg)</t>
        </is>
      </c>
      <c r="B10" s="8" t="n"/>
    </row>
    <row r="11">
      <c r="A11" s="12" t="inlineStr">
        <is>
          <t>Gross revenue (USD/yr)</t>
        </is>
      </c>
      <c r="B11" s="8">
        <f>B4*B10</f>
        <v/>
      </c>
    </row>
    <row r="12">
      <c r="A12" s="12" t="inlineStr"/>
    </row>
    <row r="13">
      <c r="A13" s="12" t="inlineStr">
        <is>
          <t>Labour costs (USD/yr)</t>
        </is>
      </c>
      <c r="B13" s="8" t="n"/>
    </row>
    <row r="14">
      <c r="A14" s="12" t="inlineStr">
        <is>
          <t>Fuel costs (USD/yr)</t>
        </is>
      </c>
      <c r="B14" s="8" t="n"/>
    </row>
    <row r="15">
      <c r="A15" s="12" t="inlineStr">
        <is>
          <t>Gear and maintenance (USD/yr)</t>
        </is>
      </c>
      <c r="B15" s="8" t="n"/>
    </row>
    <row r="16">
      <c r="A16" s="12" t="inlineStr">
        <is>
          <t>Capital depreciation (USD/yr)</t>
        </is>
      </c>
      <c r="B16" s="8" t="n"/>
    </row>
    <row r="17">
      <c r="A17" s="12" t="inlineStr">
        <is>
          <t>Total costs (USD/yr)</t>
        </is>
      </c>
      <c r="B17" s="8">
        <f>SUM(B13:B16)</f>
        <v/>
      </c>
    </row>
    <row r="18">
      <c r="A18" s="12" t="inlineStr"/>
    </row>
    <row r="19">
      <c r="A19" s="12" t="inlineStr">
        <is>
          <t>Resource rent (USD/yr)</t>
        </is>
      </c>
      <c r="B19" s="8">
        <f>MAX(B11-B17,0)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How to use this template</t>
        </is>
      </c>
    </row>
    <row r="3">
      <c r="A3" s="13" t="inlineStr">
        <is>
          <t>This workbook has two main sheets:</t>
        </is>
      </c>
    </row>
    <row r="4">
      <c r="A4" s="13" t="inlineStr"/>
    </row>
    <row r="5">
      <c r="A5" s="13" t="inlineStr">
        <is>
          <t>Part A - Physical Supply: quantify services in physical units (kg, Mg CO2, visitors, m).</t>
        </is>
      </c>
    </row>
    <row r="6">
      <c r="A6" s="13" t="inlineStr">
        <is>
          <t xml:space="preserve">   This is a complete account on its own. Fill yellow cells with your data.</t>
        </is>
      </c>
    </row>
    <row r="7">
      <c r="A7" s="13" t="inlineStr"/>
    </row>
    <row r="8">
      <c r="A8" s="13" t="inlineStr">
        <is>
          <t>Part B - Monetary Supply: assign economic values (USD/yr) to physical quantities.</t>
        </is>
      </c>
    </row>
    <row r="9">
      <c r="A9" s="13" t="inlineStr">
        <is>
          <t xml:space="preserve">   Requires Part A first. Only fill in services where you have economic data.</t>
        </is>
      </c>
    </row>
    <row r="10">
      <c r="A10" s="13" t="inlineStr">
        <is>
          <t xml:space="preserve">   It is normal to have Part B for some services and not others.</t>
        </is>
      </c>
    </row>
    <row r="11">
      <c r="A11" s="13" t="inlineStr"/>
    </row>
    <row r="12">
      <c r="A12" s="13" t="inlineStr">
        <is>
          <t>Calculator sheets:</t>
        </is>
      </c>
    </row>
    <row r="13">
      <c r="A13" s="13" t="inlineStr">
        <is>
          <t xml:space="preserve">   Carbon Calculator: enter extent and NCP rate (Part A), then set carbon price (Part B).</t>
        </is>
      </c>
    </row>
    <row r="14">
      <c r="A14" s="13" t="inlineStr">
        <is>
          <t xml:space="preserve">   Resource Rent Calculator: enter catch (Part A), then prices and costs (Part B).</t>
        </is>
      </c>
    </row>
    <row r="15">
      <c r="A15" s="13" t="inlineStr"/>
    </row>
    <row r="16">
      <c r="A16" s="13" t="inlineStr">
        <is>
          <t>Yellow cells are for your input. White cells with formulas calculate automatically.</t>
        </is>
      </c>
    </row>
    <row r="17">
      <c r="A17" s="13" t="inlineStr">
        <is>
          <t>Adapt ecosystem type names and add columns as needed for your area.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2026-03-25T20:33:43Z</dcterms:created>
  <dcterms:modified xmlns:dcterms="http://purl.org/dc/terms/" xmlns:xsi="http://www.w3.org/2001/XMLSchema-instance" xsi:type="dcterms:W3CDTF">2026-03-25T20:33:43Z</dcterms:modified>
</cp:coreProperties>
</file>