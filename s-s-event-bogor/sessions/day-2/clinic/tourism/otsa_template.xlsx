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SA Account" sheetId="1" state="visible" r:id="rId1"/>
    <sheet xmlns:r="http://schemas.openxmlformats.org/officeDocument/2006/relationships" name="Tourism Sector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color rgb="003B9C7B"/>
      <sz val="11"/>
    </font>
    <font>
      <name val="Arial"/>
      <b val="1"/>
      <color rgb="000A5455"/>
      <sz val="10"/>
    </font>
    <font>
      <name val="Arial"/>
      <b val="1"/>
      <color rgb="000A5455"/>
      <sz val="12"/>
    </font>
    <font>
      <name val="Arial"/>
      <b val="1"/>
      <color rgb="00FFFFFF"/>
      <sz val="10"/>
    </font>
    <font>
      <name val="Arial"/>
      <color rgb="0030302F"/>
      <sz val="10"/>
    </font>
    <font>
      <name val="Arial"/>
      <b val="1"/>
      <color rgb="0030302F"/>
      <sz val="10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9C7B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8" customWidth="1" min="4" max="4"/>
    <col width="14" customWidth="1" min="5" max="5"/>
  </cols>
  <sheetData>
    <row r="1">
      <c r="A1" s="1" t="inlineStr">
        <is>
          <t>Ocean Tourism Satellite Account</t>
        </is>
      </c>
    </row>
    <row r="2">
      <c r="A2" s="2" t="inlineStr">
        <is>
          <t>Measuring the economic contribution of coastal and marine tourism</t>
        </is>
      </c>
    </row>
    <row r="4">
      <c r="A4" s="3" t="inlineStr">
        <is>
          <t>Country:</t>
        </is>
      </c>
      <c r="B4" s="4" t="n"/>
    </row>
    <row r="5">
      <c r="A5" s="3" t="inlineStr">
        <is>
          <t>Year:</t>
        </is>
      </c>
      <c r="B5" s="4" t="n"/>
    </row>
    <row r="7">
      <c r="A7" s="5" t="inlineStr">
        <is>
          <t>Step 1: Estimate Tourism Partial</t>
        </is>
      </c>
    </row>
    <row r="8">
      <c r="A8" s="6" t="inlineStr">
        <is>
          <t>Method</t>
        </is>
      </c>
      <c r="B8" s="6" t="inlineStr">
        <is>
          <t>Value</t>
        </is>
      </c>
      <c r="C8" s="6" t="inlineStr">
        <is>
          <t>Source</t>
        </is>
      </c>
    </row>
    <row r="9">
      <c r="A9" s="7" t="inlineStr">
        <is>
          <t>Visitor motivation survey (%)</t>
        </is>
      </c>
      <c r="B9" s="8" t="n"/>
      <c r="C9" s="9" t="inlineStr">
        <is>
          <t>Tourism authority survey</t>
        </is>
      </c>
    </row>
    <row r="10">
      <c r="A10" s="7" t="inlineStr">
        <is>
          <t>Geographic proxy (%)</t>
        </is>
      </c>
      <c r="B10" s="8" t="n"/>
      <c r="C10" s="9" t="inlineStr">
        <is>
          <t>Coastal municipality accommodation share</t>
        </is>
      </c>
    </row>
    <row r="11">
      <c r="A11" s="7" t="inlineStr">
        <is>
          <t>Activity-based proxy (%)</t>
        </is>
      </c>
      <c r="B11" s="8" t="n"/>
      <c r="C11" s="9" t="inlineStr">
        <is>
          <t>Marine activity expenditure share</t>
        </is>
      </c>
    </row>
    <row r="12">
      <c r="A12" s="7" t="inlineStr">
        <is>
          <t>Selected tourism partial</t>
        </is>
      </c>
      <c r="B12" s="8" t="n"/>
      <c r="C12" s="9" t="inlineStr">
        <is>
          <t>Best estimate from above</t>
        </is>
      </c>
    </row>
    <row r="14">
      <c r="A14" s="5" t="inlineStr">
        <is>
          <t>Step 2: OTSA Indicators</t>
        </is>
      </c>
    </row>
    <row r="15">
      <c r="A15" s="6" t="inlineStr">
        <is>
          <t>Indicator</t>
        </is>
      </c>
      <c r="B15" s="6" t="inlineStr">
        <is>
          <t>Total tourism
(national)</t>
        </is>
      </c>
      <c r="C15" s="6" t="inlineStr">
        <is>
          <t>Tourism
partial</t>
        </is>
      </c>
      <c r="D15" s="6" t="inlineStr">
        <is>
          <t>Coastal/ocean
tourism</t>
        </is>
      </c>
      <c r="E15" s="6" t="inlineStr">
        <is>
          <t>Unit</t>
        </is>
      </c>
    </row>
    <row r="16">
      <c r="A16" s="7" t="inlineStr">
        <is>
          <t>International arrivals</t>
        </is>
      </c>
      <c r="B16" s="8" t="n"/>
      <c r="C16" s="10">
        <f>$B$12</f>
        <v/>
      </c>
      <c r="D16" s="10">
        <f>B16*C16</f>
        <v/>
      </c>
      <c r="E16" s="9" t="inlineStr">
        <is>
          <t>persons/yr</t>
        </is>
      </c>
    </row>
    <row r="17">
      <c r="A17" s="7" t="inlineStr">
        <is>
          <t>Domestic trips</t>
        </is>
      </c>
      <c r="B17" s="8" t="n"/>
      <c r="C17" s="10">
        <f>$B$12</f>
        <v/>
      </c>
      <c r="D17" s="10">
        <f>B17*C17</f>
        <v/>
      </c>
      <c r="E17" s="9" t="inlineStr">
        <is>
          <t>trips/yr</t>
        </is>
      </c>
    </row>
    <row r="18">
      <c r="A18" s="7" t="inlineStr">
        <is>
          <t>Total tourism expenditure</t>
        </is>
      </c>
      <c r="B18" s="8" t="n"/>
      <c r="C18" s="10">
        <f>$B$12</f>
        <v/>
      </c>
      <c r="D18" s="10">
        <f>B18*C18</f>
        <v/>
      </c>
      <c r="E18" s="9" t="inlineStr">
        <is>
          <t>USD million</t>
        </is>
      </c>
    </row>
    <row r="19">
      <c r="A19" s="7" t="inlineStr">
        <is>
          <t>Tourism direct GVA</t>
        </is>
      </c>
      <c r="B19" s="8" t="n"/>
      <c r="C19" s="10">
        <f>$B$12</f>
        <v/>
      </c>
      <c r="D19" s="10">
        <f>B19*C19</f>
        <v/>
      </c>
      <c r="E19" s="9" t="inlineStr">
        <is>
          <t>USD million</t>
        </is>
      </c>
    </row>
    <row r="20">
      <c r="A20" s="7" t="inlineStr">
        <is>
          <t>Tourism employment</t>
        </is>
      </c>
      <c r="B20" s="8" t="n"/>
      <c r="C20" s="10">
        <f>$B$12</f>
        <v/>
      </c>
      <c r="D20" s="10">
        <f>B20*C20</f>
        <v/>
      </c>
      <c r="E20" s="9" t="inlineStr">
        <is>
          <t>persons</t>
        </is>
      </c>
    </row>
    <row r="21">
      <c r="A21" s="7" t="inlineStr">
        <is>
          <t>National GDP</t>
        </is>
      </c>
      <c r="B21" s="8" t="n"/>
      <c r="C21" s="10">
        <f>$B$12</f>
        <v/>
      </c>
      <c r="D21" s="10">
        <f>B21*C21</f>
        <v/>
      </c>
      <c r="E21" s="9" t="inlineStr">
        <is>
          <t>USD million</t>
        </is>
      </c>
    </row>
    <row r="22">
      <c r="A22" s="7" t="inlineStr">
        <is>
          <t>Coastal tourism % of GDP</t>
        </is>
      </c>
      <c r="B22" s="8" t="n"/>
      <c r="D22" s="10">
        <f>IF(B22=0,"",D19/B22*100)</f>
        <v/>
      </c>
      <c r="E22" s="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A5455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Coastal Tourism by Sub-Sector</t>
        </is>
      </c>
    </row>
    <row r="3">
      <c r="A3" s="6" t="inlineStr">
        <is>
          <t>Sub-sector</t>
        </is>
      </c>
      <c r="B3" s="6" t="inlineStr">
        <is>
          <t>National output
(USD M)</t>
        </is>
      </c>
      <c r="C3" s="6" t="inlineStr">
        <is>
          <t>Coastal partial</t>
        </is>
      </c>
      <c r="D3" s="6" t="inlineStr">
        <is>
          <t>Coastal output
(USD M)</t>
        </is>
      </c>
      <c r="E3" s="6" t="inlineStr">
        <is>
          <t>Employment
(national)</t>
        </is>
      </c>
      <c r="F3" s="6" t="inlineStr">
        <is>
          <t>Coastal
employment</t>
        </is>
      </c>
    </row>
    <row r="4">
      <c r="A4" s="7" t="inlineStr">
        <is>
          <t>Accommodation</t>
        </is>
      </c>
      <c r="B4" s="8" t="n"/>
      <c r="C4" s="8" t="n"/>
      <c r="D4" s="8">
        <f>B4*C4</f>
        <v/>
      </c>
      <c r="E4" s="8" t="n"/>
      <c r="F4" s="8">
        <f>E4*C4</f>
        <v/>
      </c>
    </row>
    <row r="5">
      <c r="A5" s="7" t="inlineStr">
        <is>
          <t>Food and beverage</t>
        </is>
      </c>
      <c r="B5" s="8" t="n"/>
      <c r="C5" s="8" t="n"/>
      <c r="D5" s="8">
        <f>B5*C5</f>
        <v/>
      </c>
      <c r="E5" s="8" t="n"/>
      <c r="F5" s="8">
        <f>E5*C5</f>
        <v/>
      </c>
    </row>
    <row r="6">
      <c r="A6" s="7" t="inlineStr">
        <is>
          <t>Recreation and entertainment</t>
        </is>
      </c>
      <c r="B6" s="8" t="n"/>
      <c r="C6" s="8" t="n"/>
      <c r="D6" s="8">
        <f>B6*C6</f>
        <v/>
      </c>
      <c r="E6" s="8" t="n"/>
      <c r="F6" s="8">
        <f>E6*C6</f>
        <v/>
      </c>
    </row>
    <row r="7">
      <c r="A7" s="7" t="inlineStr">
        <is>
          <t>Transport (coastal)</t>
        </is>
      </c>
      <c r="B7" s="8" t="n"/>
      <c r="C7" s="8" t="n"/>
      <c r="D7" s="8">
        <f>B7*C7</f>
        <v/>
      </c>
      <c r="E7" s="8" t="n"/>
      <c r="F7" s="8">
        <f>E7*C7</f>
        <v/>
      </c>
    </row>
    <row r="8">
      <c r="A8" s="7" t="inlineStr">
        <is>
          <t>Travel agencies and tour operators</t>
        </is>
      </c>
      <c r="B8" s="8" t="n"/>
      <c r="C8" s="8" t="n"/>
      <c r="D8" s="8">
        <f>B8*C8</f>
        <v/>
      </c>
      <c r="E8" s="8" t="n"/>
      <c r="F8" s="8">
        <f>E8*C8</f>
        <v/>
      </c>
    </row>
    <row r="9">
      <c r="A9" s="7" t="inlineStr">
        <is>
          <t>Other tourism services</t>
        </is>
      </c>
      <c r="B9" s="8" t="n"/>
      <c r="C9" s="8" t="n"/>
      <c r="D9" s="8">
        <f>B9*C9</f>
        <v/>
      </c>
      <c r="E9" s="8" t="n"/>
      <c r="F9" s="8">
        <f>E9*C9</f>
        <v/>
      </c>
    </row>
    <row r="10">
      <c r="A10" s="7" t="inlineStr">
        <is>
          <t>TOTAL</t>
        </is>
      </c>
      <c r="B10" s="11">
        <f>SUM(B4:B9)</f>
        <v/>
      </c>
      <c r="C10" s="11">
        <f>SUM(C4:C9)</f>
        <v/>
      </c>
      <c r="D10" s="11">
        <f>SUM(D4:D9)</f>
        <v/>
      </c>
      <c r="E10" s="11">
        <f>SUM(E4:E9)</f>
        <v/>
      </c>
      <c r="F10" s="11">
        <f>SUM(F4:F9)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How to use this template</t>
        </is>
      </c>
    </row>
    <row r="3">
      <c r="A3" s="12" t="inlineStr">
        <is>
          <t>1. Start with the OTSA Account sheet.</t>
        </is>
      </c>
    </row>
    <row r="4">
      <c r="A4" s="12" t="inlineStr">
        <is>
          <t>2. Estimate your tourism partial using one of three methods (Step 1).</t>
        </is>
      </c>
    </row>
    <row r="5">
      <c r="A5" s="12" t="inlineStr">
        <is>
          <t>3. Enter the selected partial in the 'Selected tourism partial' row.</t>
        </is>
      </c>
    </row>
    <row r="6">
      <c r="A6" s="12" t="inlineStr">
        <is>
          <t>4. Enter your national tourism data in the 'Total tourism' column (Step 2).</t>
        </is>
      </c>
    </row>
    <row r="7">
      <c r="A7" s="12" t="inlineStr">
        <is>
          <t>5. Coastal/ocean tourism values calculate automatically (Total x Partial).</t>
        </is>
      </c>
    </row>
    <row r="8">
      <c r="A8" s="12" t="inlineStr">
        <is>
          <t>6. Use the Tourism Sectors sheet for a detailed breakdown by sub-sector.</t>
        </is>
      </c>
    </row>
    <row r="9">
      <c r="A9" s="12" t="inlineStr">
        <is>
          <t>7. Yellow cells are for your input. White cells with formulas auto-calculate.</t>
        </is>
      </c>
    </row>
    <row r="10">
      <c r="A10" s="12" t="inlineStr"/>
    </row>
    <row r="11">
      <c r="A11" s="12" t="inlineStr">
        <is>
          <t>Data sources:</t>
        </is>
      </c>
    </row>
    <row r="12">
      <c r="A12" s="12" t="inlineStr">
        <is>
          <t>- National tourism authority or board for arrivals, expenditure</t>
        </is>
      </c>
    </row>
    <row r="13">
      <c r="A13" s="12" t="inlineStr">
        <is>
          <t>- UNWTO Tourism Dashboard (unwto.org) for international arrivals</t>
        </is>
      </c>
    </row>
    <row r="14">
      <c r="A14" s="12" t="inlineStr">
        <is>
          <t>- National statistical office for GDP, employment</t>
        </is>
      </c>
    </row>
    <row r="15">
      <c r="A15" s="12" t="inlineStr">
        <is>
          <t>- Tourism Satellite Account (TSA) if your country has one</t>
        </is>
      </c>
    </row>
    <row r="16">
      <c r="A16" s="12" t="inlineStr">
        <is>
          <t>- Visitor surveys for motivation-based partial estimation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2026-03-26T00:54:38Z</dcterms:created>
  <dcterms:modified xmlns:dcterms="http://purl.org/dc/terms/" xmlns:xsi="http://www.w3.org/2001/XMLSchema-instance" xsi:type="dcterms:W3CDTF">2026-03-26T00:54:38Z</dcterms:modified>
</cp:coreProperties>
</file>