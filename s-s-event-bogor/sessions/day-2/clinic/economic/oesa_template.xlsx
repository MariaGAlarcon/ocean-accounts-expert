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ope Definition" sheetId="2" state="visible" r:id="rId2"/>
    <sheet xmlns:r="http://schemas.openxmlformats.org/officeDocument/2006/relationships" name="Ocean Partials" sheetId="3" state="visible" r:id="rId3"/>
    <sheet xmlns:r="http://schemas.openxmlformats.org/officeDocument/2006/relationships" name="Output Table" sheetId="4" state="visible" r:id="rId4"/>
    <sheet xmlns:r="http://schemas.openxmlformats.org/officeDocument/2006/relationships" name="GVA Table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Instructions" sheetId="7" state="visible" r:id="rId7"/>
    <sheet xmlns:r="http://schemas.openxmlformats.org/officeDocument/2006/relationships" name="Gloss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0302F"/>
      <sz val="10"/>
    </font>
    <font>
      <name val="Arial"/>
      <b val="1"/>
      <color rgb="00FFFFFF"/>
      <sz val="10"/>
    </font>
    <font>
      <name val="Arial"/>
      <b val="1"/>
      <color rgb="0030302F"/>
      <sz val="10"/>
    </font>
    <font>
      <name val="Arial"/>
      <color rgb="003B9C7B"/>
      <sz val="11"/>
    </font>
    <font>
      <name val="Arial"/>
      <b val="1"/>
      <color rgb="000A5455"/>
      <sz val="12"/>
    </font>
    <font>
      <name val="Arial"/>
      <b val="1"/>
      <color rgb="000A5455"/>
      <sz val="10"/>
    </font>
  </fonts>
  <fills count="5">
    <fill>
      <patternFill/>
    </fill>
    <fill>
      <patternFill patternType="gray125"/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left/>
      <right/>
      <top style="thin">
        <color rgb="00404040"/>
      </top>
      <bottom/>
      <diagonal/>
    </border>
    <border>
      <left/>
      <right style="thin">
        <color rgb="00404040"/>
      </right>
      <top style="thin">
        <color rgb="00404040"/>
      </top>
      <bottom/>
      <diagonal/>
    </border>
    <border>
      <left/>
      <right/>
      <top style="thin">
        <color rgb="00404040"/>
      </top>
      <bottom style="thin">
        <color rgb="00404040"/>
      </bottom>
      <diagonal/>
    </border>
    <border>
      <left/>
      <right style="thin">
        <color rgb="00404040"/>
      </right>
      <top style="thin">
        <color rgb="00404040"/>
      </top>
      <bottom style="thin">
        <color rgb="0040404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9" fontId="2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right" vertical="center" wrapText="1"/>
    </xf>
    <xf numFmtId="3" fontId="3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164" fontId="4" fillId="0" borderId="1" pivotButton="0" quotePrefix="0" xfId="0"/>
    <xf numFmtId="164" fontId="0" fillId="4" borderId="1" pivotButton="0" quotePrefix="0" xfId="0"/>
    <xf numFmtId="165" fontId="4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6" t="inlineStr">
        <is>
          <t>Ocean Accounting Clinic: OESA</t>
        </is>
      </c>
    </row>
    <row r="2">
      <c r="A2" s="27" t="inlineStr">
        <is>
          <t>Account Template</t>
        </is>
      </c>
    </row>
    <row r="4">
      <c r="A4" s="28" t="inlineStr">
        <is>
          <t>How to use this file</t>
        </is>
      </c>
    </row>
    <row r="5">
      <c r="A5" s="2" t="inlineStr">
        <is>
          <t>Fill in the yellow cells with your country's data.</t>
        </is>
      </c>
    </row>
    <row r="6">
      <c r="A6" s="2" t="inlineStr">
        <is>
          <t>White cells with formulas will calculate automatically.</t>
        </is>
      </c>
    </row>
    <row r="7">
      <c r="A7" s="2" t="inlineStr">
        <is>
          <t>See the Glossary sheet for definitions of all terms and abbreviations.</t>
        </is>
      </c>
    </row>
    <row r="8">
      <c r="A8" s="2" t="inlineStr">
        <is>
          <t>See the Instructions sheet (if present) for detailed step-by-step guidance.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Step 1-2: Define Scope and Classify Activities</t>
        </is>
      </c>
    </row>
    <row r="2">
      <c r="A2" s="2" t="inlineStr">
        <is>
          <t>Fill in your national industries and mark whether they are in scope.</t>
        </is>
      </c>
    </row>
    <row r="3"/>
    <row r="4">
      <c r="A4" s="3" t="inlineStr">
        <is>
          <t>Ocean Economy Group</t>
        </is>
      </c>
      <c r="B4" s="3" t="inlineStr">
        <is>
          <t>National Industry</t>
        </is>
      </c>
      <c r="C4" s="3" t="inlineStr">
        <is>
          <t>ISIC Code</t>
        </is>
      </c>
      <c r="D4" s="3" t="inlineStr">
        <is>
          <t>In Scope (Y/N)</t>
        </is>
      </c>
      <c r="E4" s="3" t="inlineStr">
        <is>
          <t>Notes</t>
        </is>
      </c>
    </row>
    <row r="5">
      <c r="A5" s="4" t="inlineStr">
        <is>
          <t>Living Resources</t>
        </is>
      </c>
      <c r="B5" s="5" t="n"/>
      <c r="C5" s="5" t="n"/>
      <c r="D5" s="5" t="n"/>
      <c r="E5" s="6" t="n"/>
    </row>
    <row r="6">
      <c r="A6" s="7" t="inlineStr">
        <is>
          <t>Living Resources</t>
        </is>
      </c>
      <c r="B6" s="7" t="inlineStr">
        <is>
          <t>Marine fishing</t>
        </is>
      </c>
      <c r="C6" s="8" t="inlineStr">
        <is>
          <t>0311</t>
        </is>
      </c>
      <c r="D6" s="9" t="inlineStr"/>
      <c r="E6" s="10" t="inlineStr"/>
    </row>
    <row r="7">
      <c r="A7" s="7" t="inlineStr">
        <is>
          <t>Living Resources</t>
        </is>
      </c>
      <c r="B7" s="7" t="inlineStr">
        <is>
          <t>Marine aquaculture</t>
        </is>
      </c>
      <c r="C7" s="8" t="inlineStr">
        <is>
          <t>0321</t>
        </is>
      </c>
      <c r="D7" s="9" t="inlineStr"/>
      <c r="E7" s="10" t="inlineStr"/>
    </row>
    <row r="8">
      <c r="A8" s="7" t="inlineStr">
        <is>
          <t>Living Resources</t>
        </is>
      </c>
      <c r="B8" s="7" t="inlineStr">
        <is>
          <t>Fish processing</t>
        </is>
      </c>
      <c r="C8" s="8" t="inlineStr">
        <is>
          <t>1020</t>
        </is>
      </c>
      <c r="D8" s="9" t="inlineStr"/>
      <c r="E8" s="10" t="inlineStr"/>
    </row>
    <row r="9">
      <c r="A9" s="7" t="inlineStr">
        <is>
          <t>Living Resources</t>
        </is>
      </c>
      <c r="B9" s="10" t="inlineStr"/>
      <c r="C9" s="9" t="inlineStr"/>
      <c r="D9" s="9" t="inlineStr"/>
      <c r="E9" s="10" t="inlineStr"/>
    </row>
    <row r="10">
      <c r="A10" s="4" t="inlineStr">
        <is>
          <t>Marine Minerals</t>
        </is>
      </c>
      <c r="B10" s="5" t="n"/>
      <c r="C10" s="5" t="n"/>
      <c r="D10" s="5" t="n"/>
      <c r="E10" s="6" t="n"/>
    </row>
    <row r="11">
      <c r="A11" s="7" t="inlineStr">
        <is>
          <t>Marine Minerals</t>
        </is>
      </c>
      <c r="B11" s="7" t="inlineStr">
        <is>
          <t>Offshore oil &amp; gas extraction</t>
        </is>
      </c>
      <c r="C11" s="8" t="inlineStr">
        <is>
          <t>0610</t>
        </is>
      </c>
      <c r="D11" s="9" t="inlineStr"/>
      <c r="E11" s="10" t="inlineStr"/>
    </row>
    <row r="12">
      <c r="A12" s="7" t="inlineStr">
        <is>
          <t>Marine Minerals</t>
        </is>
      </c>
      <c r="B12" s="7" t="inlineStr">
        <is>
          <t>Marine mining</t>
        </is>
      </c>
      <c r="C12" s="8" t="inlineStr">
        <is>
          <t>0810</t>
        </is>
      </c>
      <c r="D12" s="9" t="inlineStr"/>
      <c r="E12" s="10" t="inlineStr"/>
    </row>
    <row r="13">
      <c r="A13" s="7" t="inlineStr">
        <is>
          <t>Marine Minerals</t>
        </is>
      </c>
      <c r="B13" s="7" t="inlineStr">
        <is>
          <t>Salt extraction</t>
        </is>
      </c>
      <c r="C13" s="8" t="inlineStr">
        <is>
          <t>0893</t>
        </is>
      </c>
      <c r="D13" s="9" t="inlineStr"/>
      <c r="E13" s="10" t="inlineStr"/>
    </row>
    <row r="14">
      <c r="A14" s="7" t="inlineStr">
        <is>
          <t>Marine Minerals</t>
        </is>
      </c>
      <c r="B14" s="10" t="inlineStr"/>
      <c r="C14" s="9" t="inlineStr"/>
      <c r="D14" s="9" t="inlineStr"/>
      <c r="E14" s="10" t="inlineStr"/>
    </row>
    <row r="15">
      <c r="A15" s="4" t="inlineStr">
        <is>
          <t>Marine Construction</t>
        </is>
      </c>
      <c r="B15" s="5" t="n"/>
      <c r="C15" s="5" t="n"/>
      <c r="D15" s="5" t="n"/>
      <c r="E15" s="6" t="n"/>
    </row>
    <row r="16">
      <c r="A16" s="7" t="inlineStr">
        <is>
          <t>Marine Construction</t>
        </is>
      </c>
      <c r="B16" s="7" t="inlineStr">
        <is>
          <t>Port &amp; harbour construction</t>
        </is>
      </c>
      <c r="C16" s="8" t="inlineStr">
        <is>
          <t>4290</t>
        </is>
      </c>
      <c r="D16" s="9" t="inlineStr"/>
      <c r="E16" s="10" t="inlineStr"/>
    </row>
    <row r="17">
      <c r="A17" s="7" t="inlineStr">
        <is>
          <t>Marine Construction</t>
        </is>
      </c>
      <c r="B17" s="7" t="inlineStr">
        <is>
          <t>Coastal protection works</t>
        </is>
      </c>
      <c r="C17" s="8" t="inlineStr">
        <is>
          <t>4290</t>
        </is>
      </c>
      <c r="D17" s="9" t="inlineStr"/>
      <c r="E17" s="10" t="inlineStr"/>
    </row>
    <row r="18">
      <c r="A18" s="7" t="inlineStr">
        <is>
          <t>Marine Construction</t>
        </is>
      </c>
      <c r="B18" s="7" t="inlineStr">
        <is>
          <t>Submarine cable laying</t>
        </is>
      </c>
      <c r="C18" s="8" t="inlineStr">
        <is>
          <t>4220</t>
        </is>
      </c>
      <c r="D18" s="9" t="inlineStr"/>
      <c r="E18" s="10" t="inlineStr"/>
    </row>
    <row r="19">
      <c r="A19" s="7" t="inlineStr">
        <is>
          <t>Marine Construction</t>
        </is>
      </c>
      <c r="B19" s="10" t="inlineStr"/>
      <c r="C19" s="9" t="inlineStr"/>
      <c r="D19" s="9" t="inlineStr"/>
      <c r="E19" s="10" t="inlineStr"/>
    </row>
    <row r="20">
      <c r="A20" s="4" t="inlineStr">
        <is>
          <t>Ship and Boat Building</t>
        </is>
      </c>
      <c r="B20" s="5" t="n"/>
      <c r="C20" s="5" t="n"/>
      <c r="D20" s="5" t="n"/>
      <c r="E20" s="6" t="n"/>
    </row>
    <row r="21">
      <c r="A21" s="7" t="inlineStr">
        <is>
          <t>Ship and Boat Building</t>
        </is>
      </c>
      <c r="B21" s="7" t="inlineStr">
        <is>
          <t>Shipbuilding</t>
        </is>
      </c>
      <c r="C21" s="8" t="inlineStr">
        <is>
          <t>3011</t>
        </is>
      </c>
      <c r="D21" s="9" t="inlineStr"/>
      <c r="E21" s="10" t="inlineStr"/>
    </row>
    <row r="22">
      <c r="A22" s="7" t="inlineStr">
        <is>
          <t>Ship and Boat Building</t>
        </is>
      </c>
      <c r="B22" s="7" t="inlineStr">
        <is>
          <t>Boat building</t>
        </is>
      </c>
      <c r="C22" s="8" t="inlineStr">
        <is>
          <t>3012</t>
        </is>
      </c>
      <c r="D22" s="9" t="inlineStr"/>
      <c r="E22" s="10" t="inlineStr"/>
    </row>
    <row r="23">
      <c r="A23" s="7" t="inlineStr">
        <is>
          <t>Ship and Boat Building</t>
        </is>
      </c>
      <c r="B23" s="7" t="inlineStr">
        <is>
          <t>Ship repair &amp; maintenance</t>
        </is>
      </c>
      <c r="C23" s="8" t="inlineStr">
        <is>
          <t>3315</t>
        </is>
      </c>
      <c r="D23" s="9" t="inlineStr"/>
      <c r="E23" s="10" t="inlineStr"/>
    </row>
    <row r="24">
      <c r="A24" s="7" t="inlineStr">
        <is>
          <t>Ship and Boat Building</t>
        </is>
      </c>
      <c r="B24" s="10" t="inlineStr"/>
      <c r="C24" s="9" t="inlineStr"/>
      <c r="D24" s="9" t="inlineStr"/>
      <c r="E24" s="10" t="inlineStr"/>
    </row>
    <row r="25">
      <c r="A25" s="4" t="inlineStr">
        <is>
          <t>Marine Transport</t>
        </is>
      </c>
      <c r="B25" s="5" t="n"/>
      <c r="C25" s="5" t="n"/>
      <c r="D25" s="5" t="n"/>
      <c r="E25" s="6" t="n"/>
    </row>
    <row r="26">
      <c r="A26" s="7" t="inlineStr">
        <is>
          <t>Marine Transport</t>
        </is>
      </c>
      <c r="B26" s="7" t="inlineStr">
        <is>
          <t>Ocean freight transport</t>
        </is>
      </c>
      <c r="C26" s="8" t="inlineStr">
        <is>
          <t>5012</t>
        </is>
      </c>
      <c r="D26" s="9" t="inlineStr"/>
      <c r="E26" s="10" t="inlineStr"/>
    </row>
    <row r="27">
      <c r="A27" s="7" t="inlineStr">
        <is>
          <t>Marine Transport</t>
        </is>
      </c>
      <c r="B27" s="7" t="inlineStr">
        <is>
          <t>Coastal passenger transport</t>
        </is>
      </c>
      <c r="C27" s="8" t="inlineStr">
        <is>
          <t>5011</t>
        </is>
      </c>
      <c r="D27" s="9" t="inlineStr"/>
      <c r="E27" s="10" t="inlineStr"/>
    </row>
    <row r="28">
      <c r="A28" s="7" t="inlineStr">
        <is>
          <t>Marine Transport</t>
        </is>
      </c>
      <c r="B28" s="7" t="inlineStr">
        <is>
          <t>Port &amp; terminal operations</t>
        </is>
      </c>
      <c r="C28" s="8" t="inlineStr">
        <is>
          <t>5222</t>
        </is>
      </c>
      <c r="D28" s="9" t="inlineStr"/>
      <c r="E28" s="10" t="inlineStr"/>
    </row>
    <row r="29">
      <c r="A29" s="7" t="inlineStr">
        <is>
          <t>Marine Transport</t>
        </is>
      </c>
      <c r="B29" s="7" t="inlineStr">
        <is>
          <t>Marine cargo handling</t>
        </is>
      </c>
      <c r="C29" s="8" t="inlineStr">
        <is>
          <t>5224</t>
        </is>
      </c>
      <c r="D29" s="9" t="inlineStr"/>
      <c r="E29" s="10" t="inlineStr"/>
    </row>
    <row r="30">
      <c r="A30" s="7" t="inlineStr">
        <is>
          <t>Marine Transport</t>
        </is>
      </c>
      <c r="B30" s="10" t="inlineStr"/>
      <c r="C30" s="9" t="inlineStr"/>
      <c r="D30" s="9" t="inlineStr"/>
      <c r="E30" s="10" t="inlineStr"/>
    </row>
    <row r="31">
      <c r="A31" s="4" t="inlineStr">
        <is>
          <t>Coastal Tourism</t>
        </is>
      </c>
      <c r="B31" s="5" t="n"/>
      <c r="C31" s="5" t="n"/>
      <c r="D31" s="5" t="n"/>
      <c r="E31" s="6" t="n"/>
    </row>
    <row r="32">
      <c r="A32" s="7" t="inlineStr">
        <is>
          <t>Coastal Tourism</t>
        </is>
      </c>
      <c r="B32" s="7" t="inlineStr">
        <is>
          <t>Accommodation (coastal)</t>
        </is>
      </c>
      <c r="C32" s="8" t="inlineStr">
        <is>
          <t>5510</t>
        </is>
      </c>
      <c r="D32" s="9" t="inlineStr"/>
      <c r="E32" s="10" t="inlineStr"/>
    </row>
    <row r="33">
      <c r="A33" s="7" t="inlineStr">
        <is>
          <t>Coastal Tourism</t>
        </is>
      </c>
      <c r="B33" s="7" t="inlineStr">
        <is>
          <t>Food &amp; beverage (coastal)</t>
        </is>
      </c>
      <c r="C33" s="8" t="inlineStr">
        <is>
          <t>5610</t>
        </is>
      </c>
      <c r="D33" s="9" t="inlineStr"/>
      <c r="E33" s="10" t="inlineStr"/>
    </row>
    <row r="34">
      <c r="A34" s="7" t="inlineStr">
        <is>
          <t>Coastal Tourism</t>
        </is>
      </c>
      <c r="B34" s="7" t="inlineStr">
        <is>
          <t>Recreation &amp; sports (marine)</t>
        </is>
      </c>
      <c r="C34" s="8" t="inlineStr">
        <is>
          <t>9319</t>
        </is>
      </c>
      <c r="D34" s="9" t="inlineStr"/>
      <c r="E34" s="10" t="inlineStr"/>
    </row>
    <row r="35">
      <c r="A35" s="7" t="inlineStr">
        <is>
          <t>Coastal Tourism</t>
        </is>
      </c>
      <c r="B35" s="7" t="inlineStr">
        <is>
          <t>Travel agencies (marine tours)</t>
        </is>
      </c>
      <c r="C35" s="8" t="inlineStr">
        <is>
          <t>7911</t>
        </is>
      </c>
      <c r="D35" s="9" t="inlineStr"/>
      <c r="E35" s="10" t="inlineStr"/>
    </row>
    <row r="36">
      <c r="A36" s="7" t="inlineStr">
        <is>
          <t>Coastal Tourism</t>
        </is>
      </c>
      <c r="B36" s="10" t="inlineStr"/>
      <c r="C36" s="9" t="inlineStr"/>
      <c r="D36" s="9" t="inlineStr"/>
      <c r="E36" s="10" t="inlineStr"/>
    </row>
  </sheetData>
  <mergeCells count="7">
    <mergeCell ref="A20:E20"/>
    <mergeCell ref="A15:E15"/>
    <mergeCell ref="A10:E10"/>
    <mergeCell ref="A25:E25"/>
    <mergeCell ref="A1:E1"/>
    <mergeCell ref="A5:E5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28" customWidth="1" min="4" max="4"/>
    <col width="18" customWidth="1" min="5" max="5"/>
  </cols>
  <sheetData>
    <row r="1">
      <c r="A1" s="1" t="inlineStr">
        <is>
          <t>Step 4: Ocean Economy Partials</t>
        </is>
      </c>
    </row>
    <row r="2">
      <c r="A2" s="2" t="inlineStr">
        <is>
          <t>Enter the ocean partial for each industry. Use South Africa examples as a starting point.</t>
        </is>
      </c>
    </row>
    <row r="3"/>
    <row r="4">
      <c r="A4" s="3" t="inlineStr">
        <is>
          <t>Industry</t>
        </is>
      </c>
      <c r="B4" s="3" t="inlineStr">
        <is>
          <t>ISIC Code</t>
        </is>
      </c>
      <c r="C4" s="3" t="inlineStr">
        <is>
          <t>Ocean Partial (%)</t>
        </is>
      </c>
      <c r="D4" s="3" t="inlineStr">
        <is>
          <t>Data Source</t>
        </is>
      </c>
      <c r="E4" s="3" t="inlineStr">
        <is>
          <t>Confidence (RAG)</t>
        </is>
      </c>
    </row>
    <row r="5">
      <c r="A5" s="7" t="inlineStr">
        <is>
          <t>Marine fishing</t>
        </is>
      </c>
      <c r="B5" s="8" t="inlineStr">
        <is>
          <t>0311</t>
        </is>
      </c>
      <c r="C5" s="11" t="n">
        <v>1</v>
      </c>
      <c r="D5" s="10" t="inlineStr">
        <is>
          <t>By definition</t>
        </is>
      </c>
      <c r="E5" s="9" t="inlineStr">
        <is>
          <t>Green</t>
        </is>
      </c>
    </row>
    <row r="6">
      <c r="A6" s="7" t="inlineStr">
        <is>
          <t>Marine aquaculture</t>
        </is>
      </c>
      <c r="B6" s="8" t="inlineStr">
        <is>
          <t>0321</t>
        </is>
      </c>
      <c r="C6" s="11" t="n">
        <v>1</v>
      </c>
      <c r="D6" s="10" t="inlineStr">
        <is>
          <t>By definition</t>
        </is>
      </c>
      <c r="E6" s="9" t="inlineStr">
        <is>
          <t>Green</t>
        </is>
      </c>
    </row>
    <row r="7">
      <c r="A7" s="7" t="inlineStr">
        <is>
          <t>Fish processing</t>
        </is>
      </c>
      <c r="B7" s="8" t="inlineStr">
        <is>
          <t>1020</t>
        </is>
      </c>
      <c r="C7" s="11" t="n">
        <v>0.85</v>
      </c>
      <c r="D7" s="10" t="inlineStr">
        <is>
          <t>Industry survey</t>
        </is>
      </c>
      <c r="E7" s="9" t="inlineStr">
        <is>
          <t>Amber</t>
        </is>
      </c>
    </row>
    <row r="8">
      <c r="A8" s="7" t="inlineStr">
        <is>
          <t>Offshore oil &amp; gas</t>
        </is>
      </c>
      <c r="B8" s="8" t="inlineStr">
        <is>
          <t>0610</t>
        </is>
      </c>
      <c r="C8" s="11" t="n">
        <v>1</v>
      </c>
      <c r="D8" s="10" t="inlineStr">
        <is>
          <t>By definition</t>
        </is>
      </c>
      <c r="E8" s="9" t="inlineStr">
        <is>
          <t>Green</t>
        </is>
      </c>
    </row>
    <row r="9">
      <c r="A9" s="7" t="inlineStr">
        <is>
          <t>Marine mining</t>
        </is>
      </c>
      <c r="B9" s="8" t="inlineStr">
        <is>
          <t>0810</t>
        </is>
      </c>
      <c r="C9" s="11" t="n">
        <v>0.3</v>
      </c>
      <c r="D9" s="10" t="inlineStr">
        <is>
          <t>Expert estimate</t>
        </is>
      </c>
      <c r="E9" s="9" t="inlineStr">
        <is>
          <t>Red</t>
        </is>
      </c>
    </row>
    <row r="10">
      <c r="A10" s="7" t="inlineStr">
        <is>
          <t>Salt extraction</t>
        </is>
      </c>
      <c r="B10" s="8" t="inlineStr">
        <is>
          <t>0893</t>
        </is>
      </c>
      <c r="C10" s="11" t="n">
        <v>0.5</v>
      </c>
      <c r="D10" s="10" t="inlineStr">
        <is>
          <t>Expert estimate</t>
        </is>
      </c>
      <c r="E10" s="9" t="inlineStr">
        <is>
          <t>Amber</t>
        </is>
      </c>
    </row>
    <row r="11">
      <c r="A11" s="7" t="inlineStr">
        <is>
          <t>Port construction</t>
        </is>
      </c>
      <c r="B11" s="8" t="inlineStr">
        <is>
          <t>4290</t>
        </is>
      </c>
      <c r="C11" s="11" t="n">
        <v>0.6</v>
      </c>
      <c r="D11" s="10" t="inlineStr">
        <is>
          <t>Budget records</t>
        </is>
      </c>
      <c r="E11" s="9" t="inlineStr">
        <is>
          <t>Amber</t>
        </is>
      </c>
    </row>
    <row r="12">
      <c r="A12" s="7" t="inlineStr">
        <is>
          <t>Coastal protection</t>
        </is>
      </c>
      <c r="B12" s="8" t="inlineStr">
        <is>
          <t>4290</t>
        </is>
      </c>
      <c r="C12" s="11" t="n">
        <v>1</v>
      </c>
      <c r="D12" s="10" t="inlineStr">
        <is>
          <t>By definition</t>
        </is>
      </c>
      <c r="E12" s="9" t="inlineStr">
        <is>
          <t>Green</t>
        </is>
      </c>
    </row>
    <row r="13">
      <c r="A13" s="7" t="inlineStr">
        <is>
          <t>Shipbuilding</t>
        </is>
      </c>
      <c r="B13" s="8" t="inlineStr">
        <is>
          <t>3011</t>
        </is>
      </c>
      <c r="C13" s="11" t="n">
        <v>1</v>
      </c>
      <c r="D13" s="10" t="inlineStr">
        <is>
          <t>By definition</t>
        </is>
      </c>
      <c r="E13" s="9" t="inlineStr">
        <is>
          <t>Green</t>
        </is>
      </c>
    </row>
    <row r="14">
      <c r="A14" s="7" t="inlineStr">
        <is>
          <t>Boat building</t>
        </is>
      </c>
      <c r="B14" s="8" t="inlineStr">
        <is>
          <t>3012</t>
        </is>
      </c>
      <c r="C14" s="11" t="n">
        <v>1</v>
      </c>
      <c r="D14" s="10" t="inlineStr">
        <is>
          <t>By definition</t>
        </is>
      </c>
      <c r="E14" s="9" t="inlineStr">
        <is>
          <t>Green</t>
        </is>
      </c>
    </row>
    <row r="15">
      <c r="A15" s="7" t="inlineStr">
        <is>
          <t>Ship repair</t>
        </is>
      </c>
      <c r="B15" s="8" t="inlineStr">
        <is>
          <t>3315</t>
        </is>
      </c>
      <c r="C15" s="11" t="n">
        <v>0.8</v>
      </c>
      <c r="D15" s="10" t="inlineStr">
        <is>
          <t>Industry survey</t>
        </is>
      </c>
      <c r="E15" s="9" t="inlineStr">
        <is>
          <t>Amber</t>
        </is>
      </c>
    </row>
    <row r="16">
      <c r="A16" s="7" t="inlineStr">
        <is>
          <t>Ocean freight</t>
        </is>
      </c>
      <c r="B16" s="8" t="inlineStr">
        <is>
          <t>5012</t>
        </is>
      </c>
      <c r="C16" s="11" t="n">
        <v>1</v>
      </c>
      <c r="D16" s="10" t="inlineStr">
        <is>
          <t>By definition</t>
        </is>
      </c>
      <c r="E16" s="9" t="inlineStr">
        <is>
          <t>Green</t>
        </is>
      </c>
    </row>
    <row r="17">
      <c r="A17" s="7" t="inlineStr">
        <is>
          <t>Coastal passenger</t>
        </is>
      </c>
      <c r="B17" s="8" t="inlineStr">
        <is>
          <t>5011</t>
        </is>
      </c>
      <c r="C17" s="11" t="n">
        <v>1</v>
      </c>
      <c r="D17" s="10" t="inlineStr">
        <is>
          <t>By definition</t>
        </is>
      </c>
      <c r="E17" s="9" t="inlineStr">
        <is>
          <t>Green</t>
        </is>
      </c>
    </row>
    <row r="18">
      <c r="A18" s="7" t="inlineStr">
        <is>
          <t>Port operations</t>
        </is>
      </c>
      <c r="B18" s="8" t="inlineStr">
        <is>
          <t>5222</t>
        </is>
      </c>
      <c r="C18" s="11" t="n">
        <v>1</v>
      </c>
      <c r="D18" s="10" t="inlineStr">
        <is>
          <t>By definition</t>
        </is>
      </c>
      <c r="E18" s="9" t="inlineStr">
        <is>
          <t>Green</t>
        </is>
      </c>
    </row>
    <row r="19">
      <c r="A19" s="7" t="inlineStr">
        <is>
          <t>Accommodation (coastal)</t>
        </is>
      </c>
      <c r="B19" s="8" t="inlineStr">
        <is>
          <t>5510</t>
        </is>
      </c>
      <c r="C19" s="11" t="n">
        <v>0.35</v>
      </c>
      <c r="D19" s="10" t="inlineStr">
        <is>
          <t>Visitor survey</t>
        </is>
      </c>
      <c r="E19" s="9" t="inlineStr">
        <is>
          <t>Amber</t>
        </is>
      </c>
    </row>
    <row r="20">
      <c r="A20" s="7" t="inlineStr">
        <is>
          <t>Food &amp; beverage (coastal)</t>
        </is>
      </c>
      <c r="B20" s="8" t="inlineStr">
        <is>
          <t>5610</t>
        </is>
      </c>
      <c r="C20" s="11" t="n">
        <v>0.2</v>
      </c>
      <c r="D20" s="10" t="inlineStr">
        <is>
          <t>Geographic proxy</t>
        </is>
      </c>
      <c r="E20" s="9" t="inlineStr">
        <is>
          <t>Red</t>
        </is>
      </c>
    </row>
    <row r="21">
      <c r="A21" s="7" t="inlineStr">
        <is>
          <t>Marine recreation</t>
        </is>
      </c>
      <c r="B21" s="8" t="inlineStr">
        <is>
          <t>9319</t>
        </is>
      </c>
      <c r="C21" s="11" t="n">
        <v>0.45</v>
      </c>
      <c r="D21" s="10" t="inlineStr">
        <is>
          <t>Activity survey</t>
        </is>
      </c>
      <c r="E21" s="9" t="inlineStr">
        <is>
          <t>Amber</t>
        </is>
      </c>
    </row>
    <row r="22">
      <c r="A22" s="7" t="inlineStr">
        <is>
          <t>Travel agencies (marine)</t>
        </is>
      </c>
      <c r="B22" s="8" t="inlineStr">
        <is>
          <t>7911</t>
        </is>
      </c>
      <c r="C22" s="11" t="n">
        <v>0.25</v>
      </c>
      <c r="D22" s="10" t="inlineStr">
        <is>
          <t>Expert estimate</t>
        </is>
      </c>
      <c r="E22" s="9" t="inlineStr">
        <is>
          <t>Red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>
      <c r="A1" s="1" t="inlineStr">
        <is>
          <t>OESA: Gross Output by Ocean Economy Group</t>
        </is>
      </c>
    </row>
    <row r="2">
      <c r="A2" s="2" t="inlineStr">
        <is>
          <t>Enter National Output and Ocean Partial. Ocean Output is calculated automatically.</t>
        </is>
      </c>
    </row>
    <row r="3"/>
    <row r="4">
      <c r="A4" s="3" t="inlineStr">
        <is>
          <t>Ocean Economy Group</t>
        </is>
      </c>
      <c r="B4" s="3" t="inlineStr">
        <is>
          <t>National Output (USD million)</t>
        </is>
      </c>
      <c r="C4" s="3" t="inlineStr">
        <is>
          <t>Ocean Partial</t>
        </is>
      </c>
      <c r="D4" s="3" t="inlineStr">
        <is>
          <t>Ocean Output (USD million)</t>
        </is>
      </c>
    </row>
    <row r="5">
      <c r="A5" s="12" t="inlineStr">
        <is>
          <t>Living Resources</t>
        </is>
      </c>
      <c r="B5" s="13" t="n"/>
      <c r="C5" s="11" t="n"/>
      <c r="D5" s="14">
        <f>B5*C5</f>
        <v/>
      </c>
    </row>
    <row r="6">
      <c r="A6" s="12" t="inlineStr">
        <is>
          <t>Marine Minerals</t>
        </is>
      </c>
      <c r="B6" s="13" t="n"/>
      <c r="C6" s="11" t="n"/>
      <c r="D6" s="14">
        <f>B6*C6</f>
        <v/>
      </c>
    </row>
    <row r="7">
      <c r="A7" s="12" t="inlineStr">
        <is>
          <t>Marine Construction</t>
        </is>
      </c>
      <c r="B7" s="13" t="n"/>
      <c r="C7" s="11" t="n"/>
      <c r="D7" s="14">
        <f>B7*C7</f>
        <v/>
      </c>
    </row>
    <row r="8">
      <c r="A8" s="12" t="inlineStr">
        <is>
          <t>Ship and Boat Building</t>
        </is>
      </c>
      <c r="B8" s="13" t="n"/>
      <c r="C8" s="11" t="n"/>
      <c r="D8" s="14">
        <f>B8*C8</f>
        <v/>
      </c>
    </row>
    <row r="9">
      <c r="A9" s="12" t="inlineStr">
        <is>
          <t>Marine Transport</t>
        </is>
      </c>
      <c r="B9" s="13" t="n"/>
      <c r="C9" s="11" t="n"/>
      <c r="D9" s="14">
        <f>B9*C9</f>
        <v/>
      </c>
    </row>
    <row r="10">
      <c r="A10" s="12" t="inlineStr">
        <is>
          <t>Coastal Tourism</t>
        </is>
      </c>
      <c r="B10" s="13" t="n"/>
      <c r="C10" s="11" t="n"/>
      <c r="D10" s="14">
        <f>B10*C10</f>
        <v/>
      </c>
    </row>
    <row r="11">
      <c r="A11" s="15" t="inlineStr">
        <is>
          <t>TOTAL</t>
        </is>
      </c>
      <c r="B11" s="16" t="n"/>
      <c r="C11" s="15" t="n"/>
      <c r="D11" s="16">
        <f>SUM(D5:D10)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18" customWidth="1" min="5" max="5"/>
  </cols>
  <sheetData>
    <row r="1">
      <c r="A1" s="1" t="inlineStr">
        <is>
          <t>OESA: Gross Value Added</t>
        </is>
      </c>
    </row>
    <row r="2">
      <c r="A2" s="2" t="inlineStr">
        <is>
          <t>Ocean Output links from Output Table. Enter Ocean IC. GVA = Output - IC.</t>
        </is>
      </c>
    </row>
    <row r="3"/>
    <row r="4">
      <c r="A4" s="3" t="inlineStr">
        <is>
          <t>Ocean Economy Group</t>
        </is>
      </c>
      <c r="B4" s="3" t="inlineStr">
        <is>
          <t>Ocean Output (USD million)</t>
        </is>
      </c>
      <c r="C4" s="3" t="inlineStr">
        <is>
          <t>Ocean IC (USD million)</t>
        </is>
      </c>
      <c r="D4" s="3" t="inlineStr">
        <is>
          <t>Ocean GVA (USD million)</t>
        </is>
      </c>
      <c r="E4" s="3" t="inlineStr">
        <is>
          <t>Employment</t>
        </is>
      </c>
    </row>
    <row r="5">
      <c r="A5" s="12" t="inlineStr">
        <is>
          <t>Living Resources</t>
        </is>
      </c>
      <c r="B5" s="14">
        <f>'Output Table'!D5</f>
        <v/>
      </c>
      <c r="C5" s="13" t="n"/>
      <c r="D5" s="14">
        <f>B5-C5</f>
        <v/>
      </c>
      <c r="E5" s="17" t="n"/>
    </row>
    <row r="6">
      <c r="A6" s="12" t="inlineStr">
        <is>
          <t>Marine Minerals</t>
        </is>
      </c>
      <c r="B6" s="14">
        <f>'Output Table'!D6</f>
        <v/>
      </c>
      <c r="C6" s="13" t="n"/>
      <c r="D6" s="14">
        <f>B6-C6</f>
        <v/>
      </c>
      <c r="E6" s="17" t="n"/>
    </row>
    <row r="7">
      <c r="A7" s="12" t="inlineStr">
        <is>
          <t>Marine Construction</t>
        </is>
      </c>
      <c r="B7" s="14">
        <f>'Output Table'!D7</f>
        <v/>
      </c>
      <c r="C7" s="13" t="n"/>
      <c r="D7" s="14">
        <f>B7-C7</f>
        <v/>
      </c>
      <c r="E7" s="17" t="n"/>
    </row>
    <row r="8">
      <c r="A8" s="12" t="inlineStr">
        <is>
          <t>Ship and Boat Building</t>
        </is>
      </c>
      <c r="B8" s="14">
        <f>'Output Table'!D8</f>
        <v/>
      </c>
      <c r="C8" s="13" t="n"/>
      <c r="D8" s="14">
        <f>B8-C8</f>
        <v/>
      </c>
      <c r="E8" s="17" t="n"/>
    </row>
    <row r="9">
      <c r="A9" s="12" t="inlineStr">
        <is>
          <t>Marine Transport</t>
        </is>
      </c>
      <c r="B9" s="14">
        <f>'Output Table'!D9</f>
        <v/>
      </c>
      <c r="C9" s="13" t="n"/>
      <c r="D9" s="14">
        <f>B9-C9</f>
        <v/>
      </c>
      <c r="E9" s="17" t="n"/>
    </row>
    <row r="10">
      <c r="A10" s="12" t="inlineStr">
        <is>
          <t>Coastal Tourism</t>
        </is>
      </c>
      <c r="B10" s="14">
        <f>'Output Table'!D10</f>
        <v/>
      </c>
      <c r="C10" s="13" t="n"/>
      <c r="D10" s="14">
        <f>B10-C10</f>
        <v/>
      </c>
      <c r="E10" s="17" t="n"/>
    </row>
    <row r="11">
      <c r="A11" s="15" t="inlineStr">
        <is>
          <t>TOTAL</t>
        </is>
      </c>
      <c r="B11" s="16">
        <f>SUM(B5:B10)</f>
        <v/>
      </c>
      <c r="C11" s="16">
        <f>SUM(C5:C10)</f>
        <v/>
      </c>
      <c r="D11" s="16">
        <f>SUM(D5:D10)</f>
        <v/>
      </c>
      <c r="E11" s="18">
        <f>SUM(E5:E10)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1" t="inlineStr">
        <is>
          <t>OESA Summary</t>
        </is>
      </c>
    </row>
    <row r="2"/>
    <row r="3">
      <c r="A3" s="3" t="inlineStr">
        <is>
          <t>Key Metric</t>
        </is>
      </c>
      <c r="B3" s="3" t="inlineStr">
        <is>
          <t>Value</t>
        </is>
      </c>
      <c r="C3" s="3" t="inlineStr"/>
    </row>
    <row r="4">
      <c r="A4" s="19" t="inlineStr">
        <is>
          <t>Total Ocean GVA (USD million)</t>
        </is>
      </c>
      <c r="B4" s="20">
        <f>'GVA Table'!D11</f>
        <v/>
      </c>
    </row>
    <row r="5">
      <c r="A5" s="19" t="inlineStr">
        <is>
          <t>National GDP (USD million)</t>
        </is>
      </c>
      <c r="B5" s="21" t="n"/>
    </row>
    <row r="6">
      <c r="A6" s="19" t="inlineStr">
        <is>
          <t>Ocean % of GDP</t>
        </is>
      </c>
      <c r="B6" s="22">
        <f>IF(B5&gt;0,B4/B5,0)</f>
        <v/>
      </c>
    </row>
    <row r="7"/>
    <row r="8">
      <c r="A8" s="3" t="inlineStr">
        <is>
          <t>Ocean Economy Group</t>
        </is>
      </c>
      <c r="B8" s="3" t="inlineStr">
        <is>
          <t>Ocean GVA (USD million)</t>
        </is>
      </c>
      <c r="C8" s="3" t="inlineStr">
        <is>
          <t>Employment</t>
        </is>
      </c>
    </row>
    <row r="9">
      <c r="A9" s="19" t="inlineStr">
        <is>
          <t>Living Resources</t>
        </is>
      </c>
      <c r="B9" s="23">
        <f>'GVA Table'!D5</f>
        <v/>
      </c>
      <c r="C9" s="24">
        <f>'GVA Table'!E5</f>
        <v/>
      </c>
    </row>
    <row r="10">
      <c r="A10" s="19" t="inlineStr">
        <is>
          <t>Marine Minerals</t>
        </is>
      </c>
      <c r="B10" s="23">
        <f>'GVA Table'!D6</f>
        <v/>
      </c>
      <c r="C10" s="24">
        <f>'GVA Table'!E6</f>
        <v/>
      </c>
    </row>
    <row r="11">
      <c r="A11" s="19" t="inlineStr">
        <is>
          <t>Marine Construction</t>
        </is>
      </c>
      <c r="B11" s="23">
        <f>'GVA Table'!D7</f>
        <v/>
      </c>
      <c r="C11" s="24">
        <f>'GVA Table'!E7</f>
        <v/>
      </c>
    </row>
    <row r="12">
      <c r="A12" s="19" t="inlineStr">
        <is>
          <t>Ship and Boat Building</t>
        </is>
      </c>
      <c r="B12" s="23">
        <f>'GVA Table'!D8</f>
        <v/>
      </c>
      <c r="C12" s="24">
        <f>'GVA Table'!E8</f>
        <v/>
      </c>
    </row>
    <row r="13">
      <c r="A13" s="19" t="inlineStr">
        <is>
          <t>Marine Transport</t>
        </is>
      </c>
      <c r="B13" s="23">
        <f>'GVA Table'!D9</f>
        <v/>
      </c>
      <c r="C13" s="24">
        <f>'GVA Table'!E9</f>
        <v/>
      </c>
    </row>
    <row r="14">
      <c r="A14" s="19" t="inlineStr">
        <is>
          <t>Coastal Tourism</t>
        </is>
      </c>
      <c r="B14" s="23">
        <f>'GVA Table'!D10</f>
        <v/>
      </c>
      <c r="C14" s="24">
        <f>'GVA Table'!E10</f>
        <v/>
      </c>
    </row>
    <row r="15">
      <c r="A15" s="15" t="inlineStr">
        <is>
          <t>TOTAL</t>
        </is>
      </c>
      <c r="B15" s="16">
        <f>SUM(B9:B14)</f>
        <v/>
      </c>
      <c r="C15" s="18">
        <f>SUM(C9:C14)</f>
        <v/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How to Use This Template</t>
        </is>
      </c>
    </row>
    <row r="2"/>
    <row r="3">
      <c r="A3" s="25" t="inlineStr">
        <is>
          <t>Step 1: Go to the 'Scope Definition' sheet. List your country's ocean-related industries and classify them into groups.</t>
        </is>
      </c>
    </row>
    <row r="4">
      <c r="A4" s="25" t="inlineStr">
        <is>
          <t>Step 2: Mark each industry as in scope (Y) or out of scope (N).</t>
        </is>
      </c>
    </row>
    <row r="5">
      <c r="A5" s="25" t="inlineStr">
        <is>
          <t>Step 3: Go to the 'Ocean Partials' sheet. For each in-scope industry, enter the ocean partial (the share of that industry attributable to the ocean).</t>
        </is>
      </c>
    </row>
    <row r="6">
      <c r="A6" s="25" t="inlineStr">
        <is>
          <t>Step 4: Go to the 'Output Table' sheet. Enter national gross output for each ocean economy group. The ocean output will be calculated automatically.</t>
        </is>
      </c>
    </row>
    <row r="7">
      <c r="A7" s="25" t="inlineStr">
        <is>
          <t>Step 5: Go to the 'GVA Table' sheet. Enter intermediate consumption (IC) for each group. GVA = Output - IC will be calculated automatically.</t>
        </is>
      </c>
    </row>
    <row r="8">
      <c r="A8" s="25" t="inlineStr">
        <is>
          <t>Step 6: Go to the 'Summary' sheet. Enter your national GDP. The ocean share of GDP will be calculated automatically.</t>
        </is>
      </c>
    </row>
    <row r="9">
      <c r="A9" s="25" t="inlineStr"/>
    </row>
    <row r="10">
      <c r="A10" s="25" t="inlineStr">
        <is>
          <t>Tips:</t>
        </is>
      </c>
    </row>
    <row r="11">
      <c r="A11" s="25" t="inlineStr">
        <is>
          <t>- Yellow cells are for your input.</t>
        </is>
      </c>
    </row>
    <row r="12">
      <c r="A12" s="25" t="inlineStr">
        <is>
          <t>- White cells with formulas will calculate automatically.</t>
        </is>
      </c>
    </row>
    <row r="13">
      <c r="A13" s="25" t="inlineStr">
        <is>
          <t>- Use the RAG column in Ocean Partials to indicate your confidence: Green (high), Amber (medium), Red (low).</t>
        </is>
      </c>
    </row>
    <row r="14">
      <c r="A14" s="25" t="inlineStr">
        <is>
          <t>- Refer to GOAP Technical Guidance for detailed methodology.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B9C7B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60" customWidth="1" min="3" max="3"/>
    <col width="20" customWidth="1" min="4" max="4"/>
  </cols>
  <sheetData>
    <row r="1">
      <c r="A1" s="26" t="inlineStr">
        <is>
          <t>Glossary of Terms and Abbreviations</t>
        </is>
      </c>
    </row>
    <row r="3">
      <c r="A3" s="3" t="inlineStr">
        <is>
          <t>Term / Abbreviation</t>
        </is>
      </c>
      <c r="B3" s="3" t="inlineStr">
        <is>
          <t>Full Name</t>
        </is>
      </c>
      <c r="C3" s="3" t="inlineStr">
        <is>
          <t>Definition</t>
        </is>
      </c>
      <c r="D3" s="3" t="inlineStr">
        <is>
          <t>Unit</t>
        </is>
      </c>
    </row>
    <row r="4">
      <c r="A4" s="29" t="inlineStr">
        <is>
          <t>GVA</t>
        </is>
      </c>
      <c r="B4" s="30" t="inlineStr">
        <is>
          <t>Gross Value Added</t>
        </is>
      </c>
      <c r="C4" s="31" t="inlineStr">
        <is>
          <t>Total output minus intermediate consumption. The value an industry adds to the economy.</t>
        </is>
      </c>
      <c r="D4" s="30" t="inlineStr">
        <is>
          <t>Currency (e.g., USD, local currency)</t>
        </is>
      </c>
    </row>
    <row r="5">
      <c r="A5" s="29" t="inlineStr">
        <is>
          <t>GDP</t>
        </is>
      </c>
      <c r="B5" s="30" t="inlineStr">
        <is>
          <t>Gross Domestic Product</t>
        </is>
      </c>
      <c r="C5" s="31" t="inlineStr">
        <is>
          <t>Total value of goods and services produced in a country. Sum of GVA across all industries plus taxes minus subsidies.</t>
        </is>
      </c>
      <c r="D5" s="30" t="inlineStr">
        <is>
          <t>Currency</t>
        </is>
      </c>
    </row>
    <row r="6">
      <c r="A6" s="29" t="inlineStr">
        <is>
          <t>IC</t>
        </is>
      </c>
      <c r="B6" s="30" t="inlineStr">
        <is>
          <t>Intermediate Consumption</t>
        </is>
      </c>
      <c r="C6" s="31" t="inlineStr">
        <is>
          <t>The value of goods and services consumed as inputs during production (e.g., fuel, raw materials, purchased services). Does not include fixed assets.</t>
        </is>
      </c>
      <c r="D6" s="30" t="inlineStr">
        <is>
          <t>Currency</t>
        </is>
      </c>
    </row>
    <row r="7">
      <c r="A7" s="29" t="inlineStr">
        <is>
          <t>Output</t>
        </is>
      </c>
      <c r="B7" s="30" t="inlineStr">
        <is>
          <t>Gross Output</t>
        </is>
      </c>
      <c r="C7" s="31" t="inlineStr">
        <is>
          <t>Total value of goods and services produced by an industry before deducting input costs. Also called gross sales or turnover.</t>
        </is>
      </c>
      <c r="D7" s="30" t="inlineStr">
        <is>
          <t>Currency</t>
        </is>
      </c>
    </row>
    <row r="8">
      <c r="A8" s="29" t="inlineStr">
        <is>
          <t>SUT</t>
        </is>
      </c>
      <c r="B8" s="30" t="inlineStr">
        <is>
          <t>Supply-Use Tables</t>
        </is>
      </c>
      <c r="C8" s="31" t="inlineStr">
        <is>
          <t>Statistical tables from the national accounts showing what each industry produces (supply) and what each industry consumes (use). Published by the National Statistical Office.</t>
        </is>
      </c>
      <c r="D8" s="30" t="inlineStr"/>
    </row>
    <row r="9">
      <c r="A9" s="29" t="inlineStr">
        <is>
          <t>SNA</t>
        </is>
      </c>
      <c r="B9" s="30" t="inlineStr">
        <is>
          <t>System of National Accounts</t>
        </is>
      </c>
      <c r="C9" s="31" t="inlineStr">
        <is>
          <t>The international statistical standard for measuring economic activity. Published by the UN. The basis for GDP calculation.</t>
        </is>
      </c>
      <c r="D9" s="30" t="inlineStr"/>
    </row>
    <row r="10">
      <c r="A10" s="29" t="inlineStr">
        <is>
          <t>SEEA-EA</t>
        </is>
      </c>
      <c r="B10" s="30" t="inlineStr">
        <is>
          <t>System of Environmental-Economic Accounting - Ecosystem Accounting</t>
        </is>
      </c>
      <c r="C10" s="31" t="inlineStr">
        <is>
          <t>The international statistical standard for measuring ecosystems, their condition, and the services they provide.</t>
        </is>
      </c>
      <c r="D10" s="30" t="inlineStr"/>
    </row>
    <row r="11">
      <c r="A11" s="29" t="inlineStr">
        <is>
          <t>OESA</t>
        </is>
      </c>
      <c r="B11" s="30" t="inlineStr">
        <is>
          <t>Ocean Economy Satellite Account</t>
        </is>
      </c>
      <c r="C11" s="31" t="inlineStr">
        <is>
          <t>A satellite account that reorganizes national accounts to identify the market-based ocean economy. Reports GDP-compatible indicators.</t>
        </is>
      </c>
      <c r="D11" s="30" t="inlineStr"/>
    </row>
    <row r="12">
      <c r="A12" s="29" t="inlineStr">
        <is>
          <t>OTSA</t>
        </is>
      </c>
      <c r="B12" s="30" t="inlineStr">
        <is>
          <t>Ocean Tourism Satellite Account</t>
        </is>
      </c>
      <c r="C12" s="31" t="inlineStr">
        <is>
          <t>A satellite account focused on coastal and marine tourism's economic contribution. A subset of OESA.</t>
        </is>
      </c>
      <c r="D12" s="30" t="inlineStr"/>
    </row>
    <row r="13">
      <c r="A13" s="29" t="inlineStr">
        <is>
          <t>Partial</t>
        </is>
      </c>
      <c r="B13" s="30" t="inlineStr">
        <is>
          <t>Ocean Economy Partial</t>
        </is>
      </c>
      <c r="C13" s="31" t="inlineStr">
        <is>
          <t>The share (0 to 1) of a mixed industry's output that is ocean-related. For example, if 30% of construction is coastal, the partial is 0.30.</t>
        </is>
      </c>
      <c r="D13" s="30" t="inlineStr">
        <is>
          <t>Proportion (0 to 1)</t>
        </is>
      </c>
    </row>
    <row r="14">
      <c r="A14" s="29" t="inlineStr">
        <is>
          <t>CI</t>
        </is>
      </c>
      <c r="B14" s="30" t="inlineStr">
        <is>
          <t>Condition Index</t>
        </is>
      </c>
      <c r="C14" s="31" t="inlineStr">
        <is>
          <t>A normalized score from 0 (fully degraded) to 1 (reference/healthy condition). Used in SEEA-EA condition accounts.</t>
        </is>
      </c>
      <c r="D14" s="30" t="inlineStr">
        <is>
          <t>Index (0 to 1)</t>
        </is>
      </c>
    </row>
    <row r="15">
      <c r="A15" s="29" t="inlineStr">
        <is>
          <t>NCP</t>
        </is>
      </c>
      <c r="B15" s="30" t="inlineStr">
        <is>
          <t>Net Carbon Production</t>
        </is>
      </c>
      <c r="C15" s="31" t="inlineStr">
        <is>
          <t>The rate at which an ecosystem sequesters carbon dioxide per unit area per year.</t>
        </is>
      </c>
      <c r="D15" s="30" t="inlineStr">
        <is>
          <t>Mg CO2/ha/yr</t>
        </is>
      </c>
    </row>
    <row r="16">
      <c r="A16" s="29" t="inlineStr">
        <is>
          <t>SCC</t>
        </is>
      </c>
      <c r="B16" s="30" t="inlineStr">
        <is>
          <t>Social Cost of Carbon</t>
        </is>
      </c>
      <c r="C16" s="31" t="inlineStr">
        <is>
          <t>An estimate of the economic damage caused by emitting one additional tonne of CO2. Used to value carbon sequestration.</t>
        </is>
      </c>
      <c r="D16" s="30" t="inlineStr">
        <is>
          <t>USD per Mg CO2</t>
        </is>
      </c>
    </row>
    <row r="17">
      <c r="A17" s="29" t="inlineStr">
        <is>
          <t>Mg CO2</t>
        </is>
      </c>
      <c r="B17" s="30" t="inlineStr">
        <is>
          <t>Megagrams of CO2</t>
        </is>
      </c>
      <c r="C17" s="31" t="inlineStr">
        <is>
          <t>Metric tonnes of carbon dioxide. 1 Mg = 1 tonne = 1,000 kg.</t>
        </is>
      </c>
      <c r="D17" s="30" t="inlineStr">
        <is>
          <t>Mass</t>
        </is>
      </c>
    </row>
    <row r="18">
      <c r="A18" s="29" t="inlineStr">
        <is>
          <t>ha</t>
        </is>
      </c>
      <c r="B18" s="30" t="inlineStr">
        <is>
          <t>Hectares</t>
        </is>
      </c>
      <c r="C18" s="31" t="inlineStr">
        <is>
          <t>Unit of area. 1 hectare = 10,000 square metres = 0.01 square kilometres.</t>
        </is>
      </c>
      <c r="D18" s="30" t="inlineStr">
        <is>
          <t>Area</t>
        </is>
      </c>
    </row>
    <row r="19">
      <c r="A19" s="29" t="inlineStr">
        <is>
          <t>kg/yr</t>
        </is>
      </c>
      <c r="B19" s="30" t="inlineStr">
        <is>
          <t>Kilograms per year</t>
        </is>
      </c>
      <c r="C19" s="31" t="inlineStr">
        <is>
          <t>Physical quantity measured in kilograms over one year.</t>
        </is>
      </c>
      <c r="D19" s="30" t="inlineStr">
        <is>
          <t>Mass per time</t>
        </is>
      </c>
    </row>
    <row r="20">
      <c r="A20" s="29" t="inlineStr">
        <is>
          <t>USD million</t>
        </is>
      </c>
      <c r="B20" s="30" t="inlineStr">
        <is>
          <t>United States Dollars, millions</t>
        </is>
      </c>
      <c r="C20" s="31" t="inlineStr">
        <is>
          <t>Monetary values expressed in millions of US dollars. For example, USD 132.5 million = USD 132,500,000.</t>
        </is>
      </c>
      <c r="D20" s="30" t="inlineStr">
        <is>
          <t>Currency</t>
        </is>
      </c>
    </row>
    <row r="21">
      <c r="A21" s="29" t="inlineStr">
        <is>
          <t>R million</t>
        </is>
      </c>
      <c r="B21" s="30" t="inlineStr">
        <is>
          <t>South African Rand, millions</t>
        </is>
      </c>
      <c r="C21" s="31" t="inlineStr">
        <is>
          <t>Monetary values in the South Africa example are in millions of Rand.</t>
        </is>
      </c>
      <c r="D21" s="30" t="inlineStr">
        <is>
          <t>Currency</t>
        </is>
      </c>
    </row>
    <row r="22">
      <c r="A22" s="29" t="inlineStr">
        <is>
          <t>ISIC</t>
        </is>
      </c>
      <c r="B22" s="30" t="inlineStr">
        <is>
          <t>International Standard Industrial Classification</t>
        </is>
      </c>
      <c r="C22" s="31" t="inlineStr">
        <is>
          <t>The UN classification system for economic activities. Used to map industries to ocean economy groups.</t>
        </is>
      </c>
      <c r="D22" s="30" t="inlineStr"/>
    </row>
    <row r="23">
      <c r="A23" s="29" t="inlineStr">
        <is>
          <t>SIC</t>
        </is>
      </c>
      <c r="B23" s="30" t="inlineStr">
        <is>
          <t>Standard Industrial Classification</t>
        </is>
      </c>
      <c r="C23" s="31" t="inlineStr">
        <is>
          <t>National classification system for economic activities. Varies by country but based on ISIC.</t>
        </is>
      </c>
      <c r="D23" s="30" t="inlineStr"/>
    </row>
    <row r="24">
      <c r="A24" s="29" t="inlineStr">
        <is>
          <t>EEZ</t>
        </is>
      </c>
      <c r="B24" s="30" t="inlineStr">
        <is>
          <t>Exclusive Economic Zone</t>
        </is>
      </c>
      <c r="C24" s="31" t="inlineStr">
        <is>
          <t>Maritime zone extending 200 nautical miles from a country's coastline, within which the country has rights to marine resources.</t>
        </is>
      </c>
      <c r="D24" s="30" t="inlineStr"/>
    </row>
    <row r="25">
      <c r="A25" s="29" t="inlineStr">
        <is>
          <t>RAG</t>
        </is>
      </c>
      <c r="B25" s="30" t="inlineStr">
        <is>
          <t>Red-Amber-Green</t>
        </is>
      </c>
      <c r="C25" s="31" t="inlineStr">
        <is>
          <t>A confidence rating system. Green = high confidence (direct evidence). Amber = moderate (proxy data). Red = low (sparse evidence).</t>
        </is>
      </c>
      <c r="D25" s="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2026-03-26T00:42:36Z</dcterms:created>
  <dcterms:modified xmlns:dcterms="http://purl.org/dc/terms/" xmlns:xsi="http://www.w3.org/2001/XMLSchema-instance" xsi:type="dcterms:W3CDTF">2026-03-26T00:56:39Z</dcterms:modified>
</cp:coreProperties>
</file>