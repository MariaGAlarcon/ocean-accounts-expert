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al Supply" sheetId="1" state="visible" r:id="rId1"/>
    <sheet xmlns:r="http://schemas.openxmlformats.org/officeDocument/2006/relationships" name="Monetary Supply" sheetId="2" state="visible" r:id="rId2"/>
    <sheet xmlns:r="http://schemas.openxmlformats.org/officeDocument/2006/relationships" name="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A5455"/>
      <sz val="14"/>
    </font>
    <font>
      <name val="Arial"/>
      <b val="1"/>
      <color rgb="000A5455"/>
      <sz val="10"/>
    </font>
    <font>
      <name val="Arial"/>
      <b val="1"/>
      <color rgb="00FFFFFF"/>
      <sz val="10"/>
    </font>
    <font>
      <name val="Arial"/>
      <color rgb="0030302F"/>
      <sz val="10"/>
    </font>
    <font>
      <name val="Arial"/>
      <b val="1"/>
      <color rgb="0030302F"/>
      <sz val="10"/>
    </font>
    <font>
      <name val="Arial"/>
      <b val="1"/>
      <color rgb="000A5455"/>
      <sz val="12"/>
    </font>
  </fonts>
  <fills count="5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3B9C7B"/>
        <bgColor rgb="003B9C7B"/>
      </patternFill>
    </fill>
    <fill>
      <patternFill patternType="solid">
        <fgColor rgb="000A5455"/>
        <bgColor rgb="000A5455"/>
      </patternFill>
    </fill>
  </fills>
  <borders count="2">
    <border>
      <left/>
      <right/>
      <top/>
      <bottom/>
      <diagonal/>
    </border>
    <border>
      <left style="thin">
        <color rgb="00404040"/>
      </left>
      <right style="thin">
        <color rgb="00404040"/>
      </right>
      <top style="thin">
        <color rgb="00404040"/>
      </top>
      <bottom style="thin">
        <color rgb="0040404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B9C7B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SEEA EA Ecosystem Service Supply Account</t>
        </is>
      </c>
    </row>
    <row r="2">
      <c r="A2" s="2" t="inlineStr">
        <is>
          <t>Accounting area:</t>
        </is>
      </c>
      <c r="B2" s="3" t="n"/>
    </row>
    <row r="3">
      <c r="A3" s="2" t="inlineStr">
        <is>
          <t>Accounting year:</t>
        </is>
      </c>
      <c r="B3" s="3" t="n"/>
    </row>
    <row r="5">
      <c r="A5" s="4" t="inlineStr">
        <is>
          <t>Service</t>
        </is>
      </c>
      <c r="B5" s="4" t="inlineStr">
        <is>
          <t>Unit</t>
        </is>
      </c>
      <c r="C5" s="4" t="inlineStr">
        <is>
          <t>Coral reefs</t>
        </is>
      </c>
      <c r="D5" s="4" t="inlineStr">
        <is>
          <t>Seagrass</t>
        </is>
      </c>
      <c r="E5" s="4" t="inlineStr">
        <is>
          <t>Mangroves</t>
        </is>
      </c>
      <c r="F5" s="4" t="inlineStr">
        <is>
          <t>Total</t>
        </is>
      </c>
    </row>
    <row r="6">
      <c r="A6" s="5" t="inlineStr">
        <is>
          <t>Fish provisioning</t>
        </is>
      </c>
      <c r="B6" s="6" t="inlineStr">
        <is>
          <t>kg/yr</t>
        </is>
      </c>
      <c r="C6" s="7" t="n"/>
      <c r="D6" s="7" t="n"/>
      <c r="E6" s="7" t="n"/>
      <c r="F6" s="8">
        <f>SUM(C6:E6)</f>
        <v/>
      </c>
    </row>
    <row r="7">
      <c r="A7" s="5" t="inlineStr">
        <is>
          <t>Carbon sequestration</t>
        </is>
      </c>
      <c r="B7" s="6" t="inlineStr">
        <is>
          <t>Mg CO2/yr</t>
        </is>
      </c>
      <c r="C7" s="7" t="n"/>
      <c r="D7" s="7" t="n"/>
      <c r="E7" s="7" t="n"/>
      <c r="F7" s="8">
        <f>SUM(C7:E7)</f>
        <v/>
      </c>
    </row>
    <row r="8">
      <c r="A8" s="5" t="inlineStr">
        <is>
          <t>Coastal protection</t>
        </is>
      </c>
      <c r="B8" s="6" t="inlineStr">
        <is>
          <t>m coastline</t>
        </is>
      </c>
      <c r="C8" s="7" t="n"/>
      <c r="D8" s="7" t="n"/>
      <c r="E8" s="7" t="n"/>
      <c r="F8" s="8">
        <f>SUM(C8:E8)</f>
        <v/>
      </c>
    </row>
    <row r="9">
      <c r="A9" s="5" t="inlineStr">
        <is>
          <t>Nursery habitat</t>
        </is>
      </c>
      <c r="B9" s="6" t="inlineStr">
        <is>
          <t>kg biomass/yr</t>
        </is>
      </c>
      <c r="C9" s="7" t="n"/>
      <c r="D9" s="7" t="n"/>
      <c r="E9" s="7" t="n"/>
      <c r="F9" s="8">
        <f>SUM(C9:E9)</f>
        <v/>
      </c>
    </row>
    <row r="10">
      <c r="A10" s="5" t="inlineStr">
        <is>
          <t>Recreation</t>
        </is>
      </c>
      <c r="B10" s="6" t="inlineStr">
        <is>
          <t>visitors/yr</t>
        </is>
      </c>
      <c r="C10" s="7" t="n"/>
      <c r="D10" s="7" t="n"/>
      <c r="E10" s="7" t="n"/>
      <c r="F10" s="8">
        <f>SUM(C10:E10)</f>
        <v/>
      </c>
    </row>
    <row r="11">
      <c r="A11" s="5" t="inlineStr">
        <is>
          <t>Gleaning</t>
        </is>
      </c>
      <c r="B11" s="6" t="inlineStr">
        <is>
          <t>hours/yr</t>
        </is>
      </c>
      <c r="C11" s="7" t="n"/>
      <c r="D11" s="7" t="n"/>
      <c r="E11" s="7" t="n"/>
      <c r="F11" s="8">
        <f>SUM(C11:E11)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A5455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Monetary Ecosystem Service Supply (USD/yr)</t>
        </is>
      </c>
    </row>
    <row r="3">
      <c r="A3" s="4" t="inlineStr">
        <is>
          <t>Service</t>
        </is>
      </c>
      <c r="B3" s="4" t="inlineStr">
        <is>
          <t>Valuation method</t>
        </is>
      </c>
      <c r="C3" s="4" t="inlineStr">
        <is>
          <t>Coral reefs</t>
        </is>
      </c>
      <c r="D3" s="4" t="inlineStr">
        <is>
          <t>Seagrass</t>
        </is>
      </c>
      <c r="E3" s="4" t="inlineStr">
        <is>
          <t>Mangroves</t>
        </is>
      </c>
      <c r="F3" s="4" t="inlineStr">
        <is>
          <t>Total</t>
        </is>
      </c>
    </row>
    <row r="4">
      <c r="A4" s="5" t="inlineStr">
        <is>
          <t>Fish provisioning</t>
        </is>
      </c>
      <c r="B4" s="6" t="inlineStr">
        <is>
          <t>Resource rent</t>
        </is>
      </c>
      <c r="C4" s="7" t="n"/>
      <c r="D4" s="7" t="n"/>
      <c r="E4" s="7" t="n"/>
      <c r="F4" s="8">
        <f>SUM(C4:E4)</f>
        <v/>
      </c>
    </row>
    <row r="5">
      <c r="A5" s="5" t="inlineStr">
        <is>
          <t>Carbon sequestration</t>
        </is>
      </c>
      <c r="B5" s="6" t="inlineStr">
        <is>
          <t>Social cost of carbon</t>
        </is>
      </c>
      <c r="C5" s="7" t="n"/>
      <c r="D5" s="7" t="n"/>
      <c r="E5" s="7" t="n"/>
      <c r="F5" s="8">
        <f>SUM(C5:E5)</f>
        <v/>
      </c>
    </row>
    <row r="6">
      <c r="A6" s="5" t="inlineStr">
        <is>
          <t>Coastal protection</t>
        </is>
      </c>
      <c r="B6" s="6" t="inlineStr">
        <is>
          <t>Replacement cost</t>
        </is>
      </c>
      <c r="C6" s="7" t="n"/>
      <c r="D6" s="7" t="n"/>
      <c r="E6" s="7" t="n"/>
      <c r="F6" s="8">
        <f>SUM(C6:E6)</f>
        <v/>
      </c>
    </row>
    <row r="7">
      <c r="A7" s="5" t="inlineStr">
        <is>
          <t>Nursery habitat</t>
        </is>
      </c>
      <c r="B7" s="6" t="inlineStr">
        <is>
          <t>Productivity change</t>
        </is>
      </c>
      <c r="C7" s="7" t="n"/>
      <c r="D7" s="7" t="n"/>
      <c r="E7" s="7" t="n"/>
      <c r="F7" s="8">
        <f>SUM(C7:E7)</f>
        <v/>
      </c>
    </row>
    <row r="8">
      <c r="A8" s="5" t="inlineStr">
        <is>
          <t>Recreation</t>
        </is>
      </c>
      <c r="B8" s="6" t="inlineStr">
        <is>
          <t>Direct expenditure</t>
        </is>
      </c>
      <c r="C8" s="7" t="n"/>
      <c r="D8" s="7" t="n"/>
      <c r="E8" s="7" t="n"/>
      <c r="F8" s="8">
        <f>SUM(C8:E8)</f>
        <v/>
      </c>
    </row>
    <row r="9">
      <c r="A9" s="5" t="inlineStr">
        <is>
          <t>Gleaning</t>
        </is>
      </c>
      <c r="B9" s="6" t="inlineStr">
        <is>
          <t>Equivalent wage</t>
        </is>
      </c>
      <c r="C9" s="7" t="n"/>
      <c r="D9" s="7" t="n"/>
      <c r="E9" s="7" t="n"/>
      <c r="F9" s="8">
        <f>SUM(C9:E9)</f>
        <v/>
      </c>
    </row>
    <row r="10">
      <c r="A10" s="5" t="inlineStr">
        <is>
          <t>TOTAL</t>
        </is>
      </c>
      <c r="B10" s="5" t="inlineStr"/>
      <c r="C10" s="9">
        <f>SUM(C4:C9)</f>
        <v/>
      </c>
      <c r="D10" s="9">
        <f>SUM(D4:D9)</f>
        <v/>
      </c>
      <c r="E10" s="9">
        <f>SUM(E4:E9)</f>
        <v/>
      </c>
      <c r="F10" s="9">
        <f>SUM(F4:F9)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</cols>
  <sheetData>
    <row r="1">
      <c r="A1" s="1" t="inlineStr">
        <is>
          <t>Quick Calculation Helpers</t>
        </is>
      </c>
    </row>
    <row r="3">
      <c r="A3" s="10" t="inlineStr">
        <is>
          <t>Carbon Sequestration Calculator</t>
        </is>
      </c>
    </row>
    <row r="4">
      <c r="A4" s="4" t="inlineStr">
        <is>
          <t>Ecosystem</t>
        </is>
      </c>
      <c r="B4" s="4" t="inlineStr">
        <is>
          <t>Extent (ha)</t>
        </is>
      </c>
      <c r="C4" s="4" t="inlineStr">
        <is>
          <t>NCP rate
(Mg CO2/ha/yr)</t>
        </is>
      </c>
      <c r="D4" s="4" t="inlineStr">
        <is>
          <t>Physical supply
(Mg CO2/yr)</t>
        </is>
      </c>
      <c r="E4" s="4" t="inlineStr">
        <is>
          <t>Carbon price
(USD/Mg CO2)</t>
        </is>
      </c>
      <c r="F4" s="4" t="inlineStr">
        <is>
          <t>Value
(USD/yr)</t>
        </is>
      </c>
    </row>
    <row r="5">
      <c r="A5" s="5" t="inlineStr">
        <is>
          <t>Mangroves</t>
        </is>
      </c>
      <c r="B5" s="7" t="n"/>
      <c r="C5" s="8" t="n">
        <v>3.7</v>
      </c>
      <c r="D5" s="8">
        <f>B5*C5</f>
        <v/>
      </c>
      <c r="E5" s="8" t="n">
        <v>51</v>
      </c>
      <c r="F5" s="8">
        <f>D5*E5</f>
        <v/>
      </c>
    </row>
    <row r="6">
      <c r="A6" s="5" t="inlineStr">
        <is>
          <t>Seagrass</t>
        </is>
      </c>
      <c r="B6" s="7" t="n"/>
      <c r="C6" s="8" t="n">
        <v>1.3</v>
      </c>
      <c r="D6" s="8">
        <f>B6*C6</f>
        <v/>
      </c>
      <c r="E6" s="8" t="n">
        <v>51</v>
      </c>
      <c r="F6" s="8">
        <f>D6*E6</f>
        <v/>
      </c>
    </row>
    <row r="9">
      <c r="A9" s="10" t="inlineStr">
        <is>
          <t>Resource Rent Calculator (Fish Provisioning)</t>
        </is>
      </c>
    </row>
    <row r="10">
      <c r="A10" s="11" t="inlineStr">
        <is>
          <t>Total catch (kg/yr)</t>
        </is>
      </c>
      <c r="B10" s="7" t="n"/>
    </row>
    <row r="11">
      <c r="A11" s="11" t="inlineStr">
        <is>
          <t>Average price (USD/kg)</t>
        </is>
      </c>
      <c r="B11" s="7" t="n"/>
    </row>
    <row r="12">
      <c r="A12" s="11" t="inlineStr">
        <is>
          <t>Gross revenue (USD/yr)</t>
        </is>
      </c>
      <c r="B12" s="7">
        <f>B10*B11</f>
        <v/>
      </c>
    </row>
    <row r="13">
      <c r="A13" s="11" t="inlineStr">
        <is>
          <t>Labour costs (USD/yr)</t>
        </is>
      </c>
      <c r="B13" s="7" t="n"/>
    </row>
    <row r="14">
      <c r="A14" s="11" t="inlineStr">
        <is>
          <t>Fuel costs (USD/yr)</t>
        </is>
      </c>
      <c r="B14" s="7" t="n"/>
    </row>
    <row r="15">
      <c r="A15" s="11" t="inlineStr">
        <is>
          <t>Gear and maintenance (USD/yr)</t>
        </is>
      </c>
      <c r="B15" s="7" t="n"/>
    </row>
    <row r="16">
      <c r="A16" s="11" t="inlineStr">
        <is>
          <t>Capital depreciation (USD/yr)</t>
        </is>
      </c>
      <c r="B16" s="7" t="n"/>
    </row>
    <row r="17">
      <c r="A17" s="11" t="inlineStr">
        <is>
          <t>Total costs (USD/yr)</t>
        </is>
      </c>
      <c r="B17" s="7">
        <f>SUM(B13:B16)</f>
        <v/>
      </c>
    </row>
    <row r="18">
      <c r="A18" s="11" t="inlineStr">
        <is>
          <t>Resource rent (USD/yr)</t>
        </is>
      </c>
      <c r="B18" s="7">
        <f>MAX(B12-B17,0)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2026-03-25T06:06:27Z</dcterms:created>
  <dcterms:modified xmlns:dcterms="http://purl.org/dc/terms/" xmlns:xsi="http://www.w3.org/2001/XMLSchema-instance" xsi:type="dcterms:W3CDTF">2026-03-25T06:06:27Z</dcterms:modified>
</cp:coreProperties>
</file>