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ep 1 - Identify Services" sheetId="2" state="visible" r:id="rId2"/>
    <sheet xmlns:r="http://schemas.openxmlformats.org/officeDocument/2006/relationships" name="Step 2 - Physical Supply" sheetId="3" state="visible" r:id="rId3"/>
    <sheet xmlns:r="http://schemas.openxmlformats.org/officeDocument/2006/relationships" name="Step 3 - Valuation Methods" sheetId="4" state="visible" r:id="rId4"/>
    <sheet xmlns:r="http://schemas.openxmlformats.org/officeDocument/2006/relationships" name="Step 4 - Monetary Values" sheetId="5" state="visible" r:id="rId5"/>
    <sheet xmlns:r="http://schemas.openxmlformats.org/officeDocument/2006/relationships" name="Step 5 - Final Tables" sheetId="6" state="visible" r:id="rId6"/>
    <sheet xmlns:r="http://schemas.openxmlformats.org/officeDocument/2006/relationships" name="Step 6 - Use Tables" sheetId="7" state="visible" r:id="rId7"/>
    <sheet xmlns:r="http://schemas.openxmlformats.org/officeDocument/2006/relationships" name="Answ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30302F"/>
      <sz val="10"/>
    </font>
    <font>
      <name val="Arial"/>
      <color rgb="0030302F"/>
      <sz val="10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b val="1"/>
      <color rgb="000A5455"/>
      <sz val="12"/>
    </font>
    <font>
      <name val="Arial"/>
      <color rgb="000A5455"/>
      <sz val="10"/>
    </font>
    <font>
      <name val="Arial"/>
      <b val="1"/>
      <color rgb="000A5455"/>
      <sz val="10"/>
    </font>
    <font>
      <name val="Arial"/>
      <i val="1"/>
      <color rgb="00404040"/>
      <sz val="11"/>
    </font>
  </fonts>
  <fills count="10">
    <fill>
      <patternFill/>
    </fill>
    <fill>
      <patternFill patternType="gray125"/>
    </fill>
    <fill>
      <patternFill patternType="solid">
        <fgColor rgb="003B9C7B"/>
      </patternFill>
    </fill>
    <fill>
      <patternFill patternType="solid">
        <fgColor rgb="000A5455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404040"/>
      </top>
      <bottom/>
      <diagonal/>
    </border>
    <border>
      <left/>
      <right style="thin">
        <color rgb="00404040"/>
      </right>
      <top style="thin">
        <color rgb="00404040"/>
      </top>
      <bottom/>
      <diagonal/>
    </border>
    <border>
      <left/>
      <right/>
      <top style="thin">
        <color rgb="00404040"/>
      </top>
      <bottom style="thin">
        <color rgb="00404040"/>
      </bottom>
      <diagonal/>
    </border>
    <border>
      <left/>
      <right style="thin">
        <color rgb="00404040"/>
      </right>
      <top style="thin">
        <color rgb="00404040"/>
      </top>
      <bottom style="thin">
        <color rgb="0040404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3" fontId="3" fillId="4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8" fillId="6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Ecosystem Services Account Exercise</t>
        </is>
      </c>
    </row>
    <row r="3">
      <c r="A3" s="2" t="inlineStr">
        <is>
          <t>This workbook walks you through the full process of building an ecosystem services supply account, following the SEEA EA framework.</t>
        </is>
      </c>
    </row>
    <row r="5">
      <c r="A5" s="2" t="inlineStr">
        <is>
          <t>Step 1 -- Identify your ecosystems and services</t>
        </is>
      </c>
    </row>
    <row r="6">
      <c r="A6" s="3" t="inlineStr">
        <is>
          <t>Determine which services are supplied by which ecosystem types. This is the scoping step: you need to understand the relationship between ecosystem types and the services they provide before you can quantify anything.</t>
        </is>
      </c>
    </row>
    <row r="8">
      <c r="A8" s="2" t="inlineStr">
        <is>
          <t>Step 2 -- Build the Physical Supply Table (Part A)</t>
        </is>
      </c>
    </row>
    <row r="9">
      <c r="A9" s="3" t="inlineStr">
        <is>
          <t>Quantify each service in physical units (kg, Mg CO2, metres, visitors). You will use extent data and rates (e.g., carbon sequestration = Extent (ha) x NCP rate (Mg CO2/ha/yr)).</t>
        </is>
      </c>
    </row>
    <row r="11">
      <c r="A11" s="2" t="inlineStr">
        <is>
          <t>Step 3 -- Select valuation methods for each service</t>
        </is>
      </c>
    </row>
    <row r="12">
      <c r="A12" s="3" t="inlineStr">
        <is>
          <t>Choose the appropriate monetary valuation method for each service. Different services need different approaches: resource rent for marketed goods, social cost of carbon for climate regulation, replacement cost for protective services, etc.</t>
        </is>
      </c>
    </row>
    <row r="14">
      <c r="A14" s="2" t="inlineStr">
        <is>
          <t>Step 4 -- Calculate monetary values (Part B)</t>
        </is>
      </c>
    </row>
    <row r="15">
      <c r="A15" s="3" t="inlineStr">
        <is>
          <t>Apply your chosen methods step by step to convert physical quantities into monetary values. Key formulas:
  - Resource rent = Gross revenue - Total costs
  - Carbon value = Physical supply (Mg CO2) x Social cost of carbon ($51/Mg)
  - Replacement cost = Total replacement cost / Asset lifespan
  - Direct expenditure = Visitors x Spend per visitor</t>
        </is>
      </c>
    </row>
    <row r="17">
      <c r="A17" s="2" t="inlineStr">
        <is>
          <t>Step 5 -- Build the complete supply tables and interpret</t>
        </is>
      </c>
    </row>
    <row r="18">
      <c r="A18" s="3" t="inlineStr">
        <is>
          <t>Assemble your results into formal SEEA EA supply tables (Part A and Part B) and interpret what they mean for management priorities.</t>
        </is>
      </c>
    </row>
    <row r="20">
      <c r="A20" s="4" t="inlineStr">
        <is>
          <t>The Answers sheet contains a full answer key so you can check your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Step 1: Which services come from which ecosystems?</t>
        </is>
      </c>
    </row>
    <row r="3">
      <c r="A3" s="2" t="inlineStr">
        <is>
          <t>Scenario: A coastal district has three ecosystem types:</t>
        </is>
      </c>
    </row>
    <row r="5">
      <c r="A5" s="5" t="inlineStr">
        <is>
          <t>Coral reefs (M1.3)</t>
        </is>
      </c>
      <c r="B5" s="6" t="inlineStr">
        <is>
          <t>1,200 ha</t>
        </is>
      </c>
    </row>
    <row r="6">
      <c r="A6" s="5" t="inlineStr">
        <is>
          <t>Seagrass meadows (M1.1)</t>
        </is>
      </c>
      <c r="B6" s="6" t="inlineStr">
        <is>
          <t>800 ha</t>
        </is>
      </c>
    </row>
    <row r="7">
      <c r="A7" s="5" t="inlineStr">
        <is>
          <t>Mangroves (MFT1.2)</t>
        </is>
      </c>
      <c r="B7" s="6" t="inlineStr">
        <is>
          <t>350 ha</t>
        </is>
      </c>
    </row>
    <row r="9">
      <c r="A9" s="4" t="inlineStr">
        <is>
          <t>Task: For each ecosystem-service combination below, enter Y if the ecosystem supplies that service, or N if it does not.</t>
        </is>
      </c>
    </row>
    <row r="11">
      <c r="A11" s="7" t="inlineStr">
        <is>
          <t>Service</t>
        </is>
      </c>
      <c r="B11" s="7" t="inlineStr">
        <is>
          <t>SEEA EA ref</t>
        </is>
      </c>
      <c r="C11" s="7" t="inlineStr">
        <is>
          <t>Coral reefs
(M1.3)</t>
        </is>
      </c>
      <c r="D11" s="7" t="inlineStr">
        <is>
          <t>Seagrass
(M1.1)</t>
        </is>
      </c>
      <c r="E11" s="7" t="inlineStr">
        <is>
          <t>Mangroves
(MFT1.2)</t>
        </is>
      </c>
    </row>
    <row r="12">
      <c r="A12" s="8" t="inlineStr">
        <is>
          <t>Fish provisioning</t>
        </is>
      </c>
      <c r="B12" s="9" t="inlineStr">
        <is>
          <t>6.1</t>
        </is>
      </c>
      <c r="C12" s="10" t="n"/>
      <c r="D12" s="10" t="n"/>
      <c r="E12" s="10" t="n"/>
    </row>
    <row r="13">
      <c r="A13" s="8" t="inlineStr">
        <is>
          <t>Carbon sequestration</t>
        </is>
      </c>
      <c r="B13" s="9" t="inlineStr">
        <is>
          <t>6.3</t>
        </is>
      </c>
      <c r="C13" s="10" t="n"/>
      <c r="D13" s="10" t="n"/>
      <c r="E13" s="10" t="n"/>
    </row>
    <row r="14">
      <c r="A14" s="8" t="inlineStr">
        <is>
          <t>Coastal protection</t>
        </is>
      </c>
      <c r="B14" s="9" t="inlineStr">
        <is>
          <t>6.4</t>
        </is>
      </c>
      <c r="C14" s="10" t="n"/>
      <c r="D14" s="10" t="n"/>
      <c r="E14" s="10" t="n"/>
    </row>
    <row r="15">
      <c r="A15" s="8" t="inlineStr">
        <is>
          <t>Nursery habitat</t>
        </is>
      </c>
      <c r="B15" s="9" t="inlineStr">
        <is>
          <t>6.2</t>
        </is>
      </c>
      <c r="C15" s="10" t="n"/>
      <c r="D15" s="10" t="n"/>
      <c r="E15" s="10" t="n"/>
    </row>
    <row r="16">
      <c r="A16" s="8" t="inlineStr">
        <is>
          <t>Recreation</t>
        </is>
      </c>
      <c r="B16" s="9" t="inlineStr">
        <is>
          <t>6.6</t>
        </is>
      </c>
      <c r="C16" s="10" t="n"/>
      <c r="D16" s="10" t="n"/>
      <c r="E16" s="10" t="n"/>
    </row>
    <row r="17">
      <c r="A17" s="8" t="inlineStr">
        <is>
          <t>Gleaning</t>
        </is>
      </c>
      <c r="B17" s="9" t="inlineStr">
        <is>
          <t>6.6</t>
        </is>
      </c>
      <c r="C17" s="10" t="n"/>
      <c r="D17" s="10" t="n"/>
      <c r="E17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Step 2: Build the Physical Supply Table (Part A)</t>
        </is>
      </c>
    </row>
    <row r="3">
      <c r="A3" s="4" t="inlineStr">
        <is>
          <t>For each service, use the given data to calculate the physical supply by ecosystem type.</t>
        </is>
      </c>
    </row>
    <row r="5">
      <c r="A5" s="11" t="inlineStr">
        <is>
          <t>A. Fish provisioning</t>
        </is>
      </c>
    </row>
    <row r="6">
      <c r="A6" s="3" t="inlineStr">
        <is>
          <t>Given data: Reef fish catch = 120,000 kg/yr; Seagrass-associated catch = 45,000 kg/yr; Mangrove-associated catch = 15,000 kg/yr</t>
        </is>
      </c>
    </row>
    <row r="8">
      <c r="A8" s="7" t="inlineStr">
        <is>
          <t>Ecosystem</t>
        </is>
      </c>
      <c r="B8" s="7" t="inlineStr">
        <is>
          <t>Catch (kg/yr)</t>
        </is>
      </c>
    </row>
    <row r="9">
      <c r="A9" s="8" t="inlineStr">
        <is>
          <t>Coral reefs</t>
        </is>
      </c>
      <c r="B9" s="10" t="n"/>
    </row>
    <row r="10">
      <c r="A10" s="8" t="inlineStr">
        <is>
          <t>Seagrass</t>
        </is>
      </c>
      <c r="B10" s="10" t="n"/>
    </row>
    <row r="11">
      <c r="A11" s="8" t="inlineStr">
        <is>
          <t>Mangroves</t>
        </is>
      </c>
      <c r="B11" s="10" t="n"/>
    </row>
    <row r="12">
      <c r="A12" s="8" t="inlineStr">
        <is>
          <t>TOTAL</t>
        </is>
      </c>
      <c r="B12" s="10" t="n"/>
    </row>
    <row r="14">
      <c r="A14" s="11" t="inlineStr">
        <is>
          <t>B. Carbon sequestration</t>
        </is>
      </c>
    </row>
    <row r="15">
      <c r="A15" s="3" t="inlineStr">
        <is>
          <t>Given: Mangrove extent = 350 ha, NCP rate = 3.7 Mg CO2/ha/yr. Seagrass extent = 800 ha, NCP rate = 1.3 Mg CO2/ha/yr. Coral reefs: negligible net sequestration.</t>
        </is>
      </c>
    </row>
    <row r="17">
      <c r="A17" s="4" t="inlineStr">
        <is>
          <t>Formula: Physical supply = Extent (ha) x NCP rate (Mg CO2/ha/yr)</t>
        </is>
      </c>
    </row>
    <row r="19">
      <c r="A19" s="7" t="inlineStr">
        <is>
          <t>Ecosystem</t>
        </is>
      </c>
      <c r="B19" s="7" t="inlineStr">
        <is>
          <t>Extent (ha)</t>
        </is>
      </c>
      <c r="C19" s="7" t="inlineStr">
        <is>
          <t>NCP rate
(Mg CO2/ha/yr)</t>
        </is>
      </c>
      <c r="D19" s="7" t="inlineStr">
        <is>
          <t>Physical supply
(Mg CO2/yr)</t>
        </is>
      </c>
    </row>
    <row r="20">
      <c r="A20" s="8" t="inlineStr">
        <is>
          <t>Mangroves</t>
        </is>
      </c>
      <c r="B20" s="9" t="n">
        <v>350</v>
      </c>
      <c r="C20" s="9" t="n">
        <v>3.7</v>
      </c>
      <c r="D20" s="10" t="n"/>
    </row>
    <row r="21">
      <c r="A21" s="8" t="inlineStr">
        <is>
          <t>Seagrass</t>
        </is>
      </c>
      <c r="B21" s="9" t="n">
        <v>800</v>
      </c>
      <c r="C21" s="9" t="n">
        <v>1.3</v>
      </c>
      <c r="D21" s="10" t="n"/>
    </row>
    <row r="22">
      <c r="A22" s="8" t="inlineStr">
        <is>
          <t>TOTAL</t>
        </is>
      </c>
      <c r="B22" s="9" t="inlineStr"/>
      <c r="C22" s="9" t="inlineStr"/>
      <c r="D22" s="10" t="n"/>
    </row>
    <row r="24">
      <c r="A24" s="11" t="inlineStr">
        <is>
          <t>C. Coastal protection</t>
        </is>
      </c>
    </row>
    <row r="25">
      <c r="A25" s="3" t="inlineStr">
        <is>
          <t>Given: 12,000 m of coastline fronted by coral reefs; 3,500 m fronted by mangroves.</t>
        </is>
      </c>
    </row>
    <row r="27">
      <c r="A27" s="7" t="inlineStr">
        <is>
          <t>Ecosystem</t>
        </is>
      </c>
      <c r="B27" s="7" t="inlineStr">
        <is>
          <t>Coastline
protected (m)</t>
        </is>
      </c>
    </row>
    <row r="28">
      <c r="A28" s="8" t="inlineStr">
        <is>
          <t>Coral reefs</t>
        </is>
      </c>
      <c r="B28" s="10" t="n"/>
    </row>
    <row r="29">
      <c r="A29" s="8" t="inlineStr">
        <is>
          <t>Mangroves</t>
        </is>
      </c>
      <c r="B29" s="10" t="n"/>
    </row>
    <row r="30">
      <c r="A30" s="8" t="inlineStr">
        <is>
          <t>TOTAL</t>
        </is>
      </c>
      <c r="B30" s="10" t="n"/>
    </row>
    <row r="32">
      <c r="A32" s="11" t="inlineStr">
        <is>
          <t>D. Recreation</t>
        </is>
      </c>
    </row>
    <row r="33">
      <c r="A33" s="3" t="inlineStr">
        <is>
          <t>Given: 15,000 reef visitors/yr (diving/snorkelling); 2,400 mangrove tour trips/yr.</t>
        </is>
      </c>
    </row>
    <row r="35">
      <c r="A35" s="7" t="inlineStr">
        <is>
          <t>Ecosystem</t>
        </is>
      </c>
      <c r="B35" s="7" t="inlineStr">
        <is>
          <t>Visitors/trips
per year</t>
        </is>
      </c>
    </row>
    <row r="36">
      <c r="A36" s="8" t="inlineStr">
        <is>
          <t>Coral reefs</t>
        </is>
      </c>
      <c r="B36" s="10" t="n"/>
    </row>
    <row r="37">
      <c r="A37" s="8" t="inlineStr">
        <is>
          <t>Mangroves</t>
        </is>
      </c>
      <c r="B37" s="10" t="n"/>
    </row>
    <row r="38">
      <c r="A38" s="8" t="inlineStr">
        <is>
          <t>TOTAL</t>
        </is>
      </c>
      <c r="B38" s="10" t="n"/>
    </row>
    <row r="41">
      <c r="A41" s="11" t="inlineStr">
        <is>
          <t>Complete Physical Supply Table (Part A)</t>
        </is>
      </c>
    </row>
    <row r="42">
      <c r="A42" s="4" t="inlineStr">
        <is>
          <t>Transfer all your answers above into this summary table.</t>
        </is>
      </c>
    </row>
    <row r="44">
      <c r="A44" s="7" t="inlineStr">
        <is>
          <t>Service</t>
        </is>
      </c>
      <c r="B44" s="7" t="inlineStr">
        <is>
          <t>Unit</t>
        </is>
      </c>
      <c r="C44" s="7" t="inlineStr">
        <is>
          <t>Coral reefs</t>
        </is>
      </c>
      <c r="D44" s="7" t="inlineStr">
        <is>
          <t>Seagrass</t>
        </is>
      </c>
      <c r="E44" s="7" t="inlineStr">
        <is>
          <t>Mangroves</t>
        </is>
      </c>
      <c r="F44" s="7" t="inlineStr">
        <is>
          <t>Total</t>
        </is>
      </c>
    </row>
    <row r="45">
      <c r="A45" s="8" t="inlineStr">
        <is>
          <t>Fish provisioning</t>
        </is>
      </c>
      <c r="B45" s="9" t="inlineStr">
        <is>
          <t>kg/yr</t>
        </is>
      </c>
      <c r="C45" s="10" t="n"/>
      <c r="D45" s="10" t="n"/>
      <c r="E45" s="10" t="n"/>
      <c r="F45" s="10" t="n"/>
    </row>
    <row r="46">
      <c r="A46" s="8" t="inlineStr">
        <is>
          <t>Carbon sequestration</t>
        </is>
      </c>
      <c r="B46" s="9" t="inlineStr">
        <is>
          <t>Mg CO2/yr</t>
        </is>
      </c>
      <c r="C46" s="10" t="n"/>
      <c r="D46" s="10" t="n"/>
      <c r="E46" s="10" t="n"/>
      <c r="F46" s="10" t="n"/>
    </row>
    <row r="47">
      <c r="A47" s="8" t="inlineStr">
        <is>
          <t>Coastal protection</t>
        </is>
      </c>
      <c r="B47" s="9" t="inlineStr">
        <is>
          <t>m coastline</t>
        </is>
      </c>
      <c r="C47" s="10" t="n"/>
      <c r="D47" s="10" t="n"/>
      <c r="E47" s="10" t="n"/>
      <c r="F47" s="10" t="n"/>
    </row>
    <row r="48">
      <c r="A48" s="8" t="inlineStr">
        <is>
          <t>Recreation</t>
        </is>
      </c>
      <c r="B48" s="9" t="inlineStr">
        <is>
          <t>visitors/yr</t>
        </is>
      </c>
      <c r="C48" s="10" t="n"/>
      <c r="D48" s="10" t="n"/>
      <c r="E48" s="10" t="n"/>
      <c r="F48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26" customWidth="1" min="4" max="4"/>
    <col width="16" customWidth="1" min="5" max="5"/>
  </cols>
  <sheetData>
    <row r="1">
      <c r="A1" s="1" t="inlineStr">
        <is>
          <t>Step 3: Select the valuation method for each service</t>
        </is>
      </c>
    </row>
    <row r="3">
      <c r="A3" s="4" t="inlineStr">
        <is>
          <t>Use the reference table below to choose an appropriate valuation method for each service. Fill in the yellow cells.</t>
        </is>
      </c>
    </row>
    <row r="5">
      <c r="A5" s="7" t="inlineStr">
        <is>
          <t>Service</t>
        </is>
      </c>
      <c r="B5" s="7" t="inlineStr">
        <is>
          <t>Physical quantity
(from Step 2)</t>
        </is>
      </c>
      <c r="C5" s="7" t="inlineStr">
        <is>
          <t>Valuation method</t>
        </is>
      </c>
      <c r="D5" s="7" t="inlineStr">
        <is>
          <t>Data needed</t>
        </is>
      </c>
      <c r="E5" s="7" t="inlineStr">
        <is>
          <t>Available?
(Y/N)</t>
        </is>
      </c>
    </row>
    <row r="6">
      <c r="A6" s="8" t="inlineStr">
        <is>
          <t>Fish provisioning</t>
        </is>
      </c>
      <c r="B6" s="9" t="inlineStr">
        <is>
          <t>180,000 kg/yr</t>
        </is>
      </c>
      <c r="C6" s="10" t="n"/>
      <c r="D6" s="10" t="n"/>
      <c r="E6" s="10" t="n"/>
    </row>
    <row r="7">
      <c r="A7" s="8" t="inlineStr">
        <is>
          <t>Carbon sequestration</t>
        </is>
      </c>
      <c r="B7" s="9" t="inlineStr">
        <is>
          <t>2,335 Mg CO2/yr</t>
        </is>
      </c>
      <c r="C7" s="10" t="n"/>
      <c r="D7" s="10" t="n"/>
      <c r="E7" s="10" t="n"/>
    </row>
    <row r="8">
      <c r="A8" s="8" t="inlineStr">
        <is>
          <t>Coastal protection</t>
        </is>
      </c>
      <c r="B8" s="9" t="inlineStr">
        <is>
          <t>15,500 m coastline</t>
        </is>
      </c>
      <c r="C8" s="10" t="n"/>
      <c r="D8" s="10" t="n"/>
      <c r="E8" s="10" t="n"/>
    </row>
    <row r="9">
      <c r="A9" s="8" t="inlineStr">
        <is>
          <t>Recreation</t>
        </is>
      </c>
      <c r="B9" s="9" t="inlineStr">
        <is>
          <t>17,400 visitors/yr</t>
        </is>
      </c>
      <c r="C9" s="10" t="n"/>
      <c r="D9" s="10" t="n"/>
      <c r="E9" s="10" t="n"/>
    </row>
    <row r="12">
      <c r="A12" s="11" t="inlineStr">
        <is>
          <t>Reference: Valuation Methods</t>
        </is>
      </c>
    </row>
    <row r="14">
      <c r="A14" s="7" t="inlineStr">
        <is>
          <t>Method</t>
        </is>
      </c>
      <c r="B14" s="7" t="inlineStr">
        <is>
          <t>How it works</t>
        </is>
      </c>
      <c r="C14" s="7" t="inlineStr">
        <is>
          <t>When to use</t>
        </is>
      </c>
      <c r="D14" s="7" t="inlineStr">
        <is>
          <t>Example</t>
        </is>
      </c>
    </row>
    <row r="15">
      <c r="A15" s="8" t="inlineStr">
        <is>
          <t>Resource rent</t>
        </is>
      </c>
      <c r="B15" s="9" t="inlineStr">
        <is>
          <t>Revenue minus all costs
(labour, fuel, gear, capital)</t>
        </is>
      </c>
      <c r="C15" s="9" t="inlineStr">
        <is>
          <t>Marketed goods with
cost data available</t>
        </is>
      </c>
      <c r="D15" s="9" t="inlineStr">
        <is>
          <t>Fish: price x catch - costs</t>
        </is>
      </c>
    </row>
    <row r="16">
      <c r="A16" s="8" t="inlineStr">
        <is>
          <t>Social cost of carbon
(SCC)</t>
        </is>
      </c>
      <c r="B16" s="9" t="inlineStr">
        <is>
          <t>Physical quantity x SCC
price per Mg CO2</t>
        </is>
      </c>
      <c r="C16" s="9" t="inlineStr">
        <is>
          <t>Climate regulation
services</t>
        </is>
      </c>
      <c r="D16" s="9" t="inlineStr">
        <is>
          <t>Carbon: Mg CO2 x $51</t>
        </is>
      </c>
    </row>
    <row r="17">
      <c r="A17" s="8" t="inlineStr">
        <is>
          <t>Replacement cost</t>
        </is>
      </c>
      <c r="B17" s="9" t="inlineStr">
        <is>
          <t>Cost to replace the service
with built infrastructure</t>
        </is>
      </c>
      <c r="C17" s="9" t="inlineStr">
        <is>
          <t>Protective services
(coastal, flood)</t>
        </is>
      </c>
      <c r="D17" s="9" t="inlineStr">
        <is>
          <t>Seawall cost per metre
annualized over lifespan</t>
        </is>
      </c>
    </row>
    <row r="18">
      <c r="A18" s="8" t="inlineStr">
        <is>
          <t>Direct expenditure</t>
        </is>
      </c>
      <c r="B18" s="9" t="inlineStr">
        <is>
          <t>Total visitor spending
attributable to the ecosystem</t>
        </is>
      </c>
      <c r="C18" s="9" t="inlineStr">
        <is>
          <t>Tourism and recreation</t>
        </is>
      </c>
      <c r="D18" s="9" t="inlineStr">
        <is>
          <t>Visitors x spend per visit</t>
        </is>
      </c>
    </row>
    <row r="19">
      <c r="A19" s="8" t="inlineStr">
        <is>
          <t>Equivalent wage</t>
        </is>
      </c>
      <c r="B19" s="9" t="inlineStr">
        <is>
          <t>Hours of activity x local
wage rate</t>
        </is>
      </c>
      <c r="C19" s="9" t="inlineStr">
        <is>
          <t>Unpaid / informal
activities (gleaning)</t>
        </is>
      </c>
      <c r="D19" s="9" t="inlineStr">
        <is>
          <t>Gleaning hours x
local daily wage</t>
        </is>
      </c>
    </row>
    <row r="20">
      <c r="A20" s="8" t="inlineStr">
        <is>
          <t>Value transfer</t>
        </is>
      </c>
      <c r="B20" s="9" t="inlineStr">
        <is>
          <t>Published $/ha/yr values
from comparable studies</t>
        </is>
      </c>
      <c r="C20" s="9" t="inlineStr">
        <is>
          <t>When no local data is
available</t>
        </is>
      </c>
      <c r="D20" s="9" t="inlineStr">
        <is>
          <t>ESVD database values
applied to local extent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Step 4: Calculate monetary values (Part B)</t>
        </is>
      </c>
    </row>
    <row r="3">
      <c r="A3" s="4" t="inlineStr">
        <is>
          <t>Work through each service calculation step by step. Yellow cells are for you to fill in (calculate).</t>
        </is>
      </c>
    </row>
    <row r="5">
      <c r="A5" s="11" t="inlineStr">
        <is>
          <t>A. Fish provisioning -- Resource Rent method</t>
        </is>
      </c>
    </row>
    <row r="7">
      <c r="A7" s="7" t="inlineStr">
        <is>
          <t>Step</t>
        </is>
      </c>
      <c r="B7" s="7" t="inlineStr">
        <is>
          <t>Item</t>
        </is>
      </c>
      <c r="C7" s="7" t="inlineStr">
        <is>
          <t>Value (USD)</t>
        </is>
      </c>
    </row>
    <row r="8">
      <c r="A8" s="12" t="inlineStr">
        <is>
          <t>1</t>
        </is>
      </c>
      <c r="B8" s="13" t="inlineStr">
        <is>
          <t>Total catch (kg/yr) -- from Step 2</t>
        </is>
      </c>
      <c r="C8" s="14" t="n">
        <v>180000</v>
      </c>
    </row>
    <row r="9">
      <c r="A9" s="12" t="inlineStr">
        <is>
          <t>2</t>
        </is>
      </c>
      <c r="B9" s="13" t="inlineStr">
        <is>
          <t>Average price (USD/kg)</t>
        </is>
      </c>
      <c r="C9" s="15" t="n">
        <v>3.5</v>
      </c>
    </row>
    <row r="10">
      <c r="A10" s="12" t="inlineStr">
        <is>
          <t>3</t>
        </is>
      </c>
      <c r="B10" s="13" t="inlineStr">
        <is>
          <t>Gross revenue = catch x price</t>
        </is>
      </c>
      <c r="C10" s="16" t="n"/>
    </row>
    <row r="11">
      <c r="A11" s="12" t="inlineStr">
        <is>
          <t>4</t>
        </is>
      </c>
      <c r="B11" s="13" t="inlineStr">
        <is>
          <t>Labour costs</t>
        </is>
      </c>
      <c r="C11" s="14" t="n">
        <v>180000</v>
      </c>
    </row>
    <row r="12">
      <c r="A12" s="12" t="inlineStr">
        <is>
          <t>5</t>
        </is>
      </c>
      <c r="B12" s="13" t="inlineStr">
        <is>
          <t>Fuel costs</t>
        </is>
      </c>
      <c r="C12" s="14" t="n">
        <v>120000</v>
      </c>
    </row>
    <row r="13">
      <c r="A13" s="12" t="inlineStr">
        <is>
          <t>6</t>
        </is>
      </c>
      <c r="B13" s="13" t="inlineStr">
        <is>
          <t>Gear and maintenance</t>
        </is>
      </c>
      <c r="C13" s="14" t="n">
        <v>80000</v>
      </c>
    </row>
    <row r="14">
      <c r="A14" s="12" t="inlineStr">
        <is>
          <t>7</t>
        </is>
      </c>
      <c r="B14" s="13" t="inlineStr">
        <is>
          <t>Capital depreciation</t>
        </is>
      </c>
      <c r="C14" s="14" t="n">
        <v>40000</v>
      </c>
    </row>
    <row r="15">
      <c r="A15" s="12" t="inlineStr">
        <is>
          <t>8</t>
        </is>
      </c>
      <c r="B15" s="13" t="inlineStr">
        <is>
          <t>Total costs = sum of steps 4-7</t>
        </is>
      </c>
      <c r="C15" s="16" t="n"/>
    </row>
    <row r="16">
      <c r="A16" s="12" t="inlineStr">
        <is>
          <t>9</t>
        </is>
      </c>
      <c r="B16" s="13" t="inlineStr">
        <is>
          <t>Resource rent = revenue - costs</t>
        </is>
      </c>
      <c r="C16" s="16" t="n"/>
    </row>
    <row r="19">
      <c r="A19" s="11" t="inlineStr">
        <is>
          <t>B. Carbon sequestration -- Social Cost of Carbon</t>
        </is>
      </c>
    </row>
    <row r="20">
      <c r="A20" s="4" t="inlineStr">
        <is>
          <t>SCC = $51 per Mg CO2 (US EPA estimate)</t>
        </is>
      </c>
    </row>
    <row r="22">
      <c r="A22" s="7" t="inlineStr">
        <is>
          <t>Step</t>
        </is>
      </c>
      <c r="B22" s="7" t="inlineStr">
        <is>
          <t>Ecosystem</t>
        </is>
      </c>
      <c r="C22" s="7" t="inlineStr">
        <is>
          <t>Extent (ha)</t>
        </is>
      </c>
      <c r="D22" s="7" t="inlineStr">
        <is>
          <t>NCP rate
(Mg CO2/ha/yr)</t>
        </is>
      </c>
      <c r="E22" s="7" t="inlineStr">
        <is>
          <t>Physical supply
(Mg CO2/yr)</t>
        </is>
      </c>
      <c r="F22" s="7" t="inlineStr">
        <is>
          <t>SCC ($/Mg)</t>
        </is>
      </c>
      <c r="G22" s="7" t="inlineStr">
        <is>
          <t>Value (USD)</t>
        </is>
      </c>
    </row>
    <row r="23">
      <c r="A23" s="12" t="inlineStr">
        <is>
          <t>1</t>
        </is>
      </c>
      <c r="B23" s="8" t="inlineStr">
        <is>
          <t>Mangroves</t>
        </is>
      </c>
      <c r="C23" s="14" t="n">
        <v>350</v>
      </c>
      <c r="D23" s="17" t="n">
        <v>3.7</v>
      </c>
      <c r="E23" s="18" t="n"/>
      <c r="F23" s="14" t="n">
        <v>51</v>
      </c>
      <c r="G23" s="16" t="n"/>
    </row>
    <row r="24">
      <c r="A24" s="12" t="inlineStr">
        <is>
          <t>2</t>
        </is>
      </c>
      <c r="B24" s="8" t="inlineStr">
        <is>
          <t>Seagrass</t>
        </is>
      </c>
      <c r="C24" s="14" t="n">
        <v>800</v>
      </c>
      <c r="D24" s="17" t="n">
        <v>1.3</v>
      </c>
      <c r="E24" s="18" t="n"/>
      <c r="F24" s="14" t="n">
        <v>51</v>
      </c>
      <c r="G24" s="16" t="n"/>
    </row>
    <row r="25">
      <c r="A25" s="12" t="inlineStr">
        <is>
          <t>3</t>
        </is>
      </c>
      <c r="B25" s="8" t="inlineStr">
        <is>
          <t>TOTAL</t>
        </is>
      </c>
      <c r="C25" s="9" t="inlineStr"/>
      <c r="D25" s="9" t="inlineStr"/>
      <c r="E25" s="18" t="n"/>
      <c r="F25" s="9" t="inlineStr"/>
      <c r="G25" s="16" t="n"/>
    </row>
    <row r="27">
      <c r="A27" s="11" t="inlineStr">
        <is>
          <t>C. Coastal protection -- Replacement Cost method</t>
        </is>
      </c>
    </row>
    <row r="29">
      <c r="A29" s="7" t="inlineStr">
        <is>
          <t>Step</t>
        </is>
      </c>
      <c r="B29" s="7" t="inlineStr">
        <is>
          <t>Item</t>
        </is>
      </c>
      <c r="C29" s="7" t="inlineStr">
        <is>
          <t>Value</t>
        </is>
      </c>
    </row>
    <row r="30">
      <c r="A30" s="12" t="inlineStr">
        <is>
          <t>1</t>
        </is>
      </c>
      <c r="B30" s="13" t="inlineStr">
        <is>
          <t>Reef coastline protected (m)</t>
        </is>
      </c>
      <c r="C30" s="14" t="n">
        <v>12000</v>
      </c>
    </row>
    <row r="31">
      <c r="A31" s="12" t="inlineStr">
        <is>
          <t>2</t>
        </is>
      </c>
      <c r="B31" s="13" t="inlineStr">
        <is>
          <t>Mangrove coastline protected (m)</t>
        </is>
      </c>
      <c r="C31" s="14" t="n">
        <v>3500</v>
      </c>
    </row>
    <row r="32">
      <c r="A32" s="12" t="inlineStr">
        <is>
          <t>3</t>
        </is>
      </c>
      <c r="B32" s="13" t="inlineStr">
        <is>
          <t>Total coastline (m)</t>
        </is>
      </c>
      <c r="C32" s="16" t="n"/>
    </row>
    <row r="33">
      <c r="A33" s="12" t="inlineStr">
        <is>
          <t>4</t>
        </is>
      </c>
      <c r="B33" s="13" t="inlineStr">
        <is>
          <t>Seawall cost per metre (USD)</t>
        </is>
      </c>
      <c r="C33" s="14" t="n">
        <v>5000</v>
      </c>
    </row>
    <row r="34">
      <c r="A34" s="12" t="inlineStr">
        <is>
          <t>5</t>
        </is>
      </c>
      <c r="B34" s="13" t="inlineStr">
        <is>
          <t>Total replacement cost = total m x cost/m</t>
        </is>
      </c>
      <c r="C34" s="16" t="n"/>
    </row>
    <row r="35">
      <c r="A35" s="12" t="inlineStr">
        <is>
          <t>6</t>
        </is>
      </c>
      <c r="B35" s="13" t="inlineStr">
        <is>
          <t>Seawall lifespan (years)</t>
        </is>
      </c>
      <c r="C35" s="14" t="n">
        <v>50</v>
      </c>
    </row>
    <row r="36">
      <c r="A36" s="12" t="inlineStr">
        <is>
          <t>7</t>
        </is>
      </c>
      <c r="B36" s="13" t="inlineStr">
        <is>
          <t>Annualized value = total cost / lifespan</t>
        </is>
      </c>
      <c r="C36" s="16" t="n"/>
    </row>
    <row r="39">
      <c r="A39" s="11" t="inlineStr">
        <is>
          <t>D. Recreation -- Direct Expenditure method</t>
        </is>
      </c>
    </row>
    <row r="41">
      <c r="A41" s="7" t="inlineStr">
        <is>
          <t>Step</t>
        </is>
      </c>
      <c r="B41" s="7" t="inlineStr">
        <is>
          <t>Activity</t>
        </is>
      </c>
      <c r="C41" s="7" t="inlineStr">
        <is>
          <t>Visitors/yr</t>
        </is>
      </c>
      <c r="D41" s="7" t="inlineStr">
        <is>
          <t>Spend/visitor
(USD)</t>
        </is>
      </c>
      <c r="E41" s="7" t="inlineStr">
        <is>
          <t>Value (USD)</t>
        </is>
      </c>
    </row>
    <row r="42">
      <c r="A42" s="12" t="inlineStr">
        <is>
          <t>1</t>
        </is>
      </c>
      <c r="B42" s="8" t="inlineStr">
        <is>
          <t>Reef diving/snorkelling</t>
        </is>
      </c>
      <c r="C42" s="14" t="n">
        <v>15000</v>
      </c>
      <c r="D42" s="14" t="n">
        <v>85</v>
      </c>
      <c r="E42" s="16" t="n"/>
    </row>
    <row r="43">
      <c r="A43" s="12" t="inlineStr">
        <is>
          <t>2</t>
        </is>
      </c>
      <c r="B43" s="8" t="inlineStr">
        <is>
          <t>Mangrove tours</t>
        </is>
      </c>
      <c r="C43" s="14" t="n">
        <v>2400</v>
      </c>
      <c r="D43" s="14" t="n">
        <v>35</v>
      </c>
      <c r="E43" s="16" t="n"/>
    </row>
    <row r="44">
      <c r="A44" s="12" t="inlineStr">
        <is>
          <t>3</t>
        </is>
      </c>
      <c r="B44" s="8" t="inlineStr">
        <is>
          <t>Total recreation value</t>
        </is>
      </c>
      <c r="C44" s="9" t="inlineStr"/>
      <c r="D44" s="9" t="inlineStr"/>
      <c r="E44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9C7B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Step 5: Build the complete supply tables</t>
        </is>
      </c>
    </row>
    <row r="3">
      <c r="A3" s="11" t="inlineStr">
        <is>
          <t>Physical Supply Table (Part A)</t>
        </is>
      </c>
    </row>
    <row r="4">
      <c r="A4" s="4" t="inlineStr">
        <is>
          <t>Transfer your Step 2 answers into this formal SEEA EA table.</t>
        </is>
      </c>
    </row>
    <row r="6">
      <c r="A6" s="7" t="inlineStr">
        <is>
          <t>Service</t>
        </is>
      </c>
      <c r="B6" s="7" t="inlineStr">
        <is>
          <t>Unit</t>
        </is>
      </c>
      <c r="C6" s="7" t="inlineStr">
        <is>
          <t>Coral reefs
(M1.3)</t>
        </is>
      </c>
      <c r="D6" s="7" t="inlineStr">
        <is>
          <t>Seagrass
(M1.1)</t>
        </is>
      </c>
      <c r="E6" s="7" t="inlineStr">
        <is>
          <t>Mangroves
(MFT1.2)</t>
        </is>
      </c>
      <c r="F6" s="7" t="inlineStr">
        <is>
          <t>Total</t>
        </is>
      </c>
    </row>
    <row r="7">
      <c r="A7" s="8" t="inlineStr">
        <is>
          <t>Fish provisioning</t>
        </is>
      </c>
      <c r="B7" s="9" t="inlineStr">
        <is>
          <t>kg/yr</t>
        </is>
      </c>
      <c r="C7" s="10" t="n"/>
      <c r="D7" s="10" t="n"/>
      <c r="E7" s="10" t="n"/>
      <c r="F7" s="10" t="n"/>
    </row>
    <row r="8">
      <c r="A8" s="8" t="inlineStr">
        <is>
          <t>Carbon sequestration</t>
        </is>
      </c>
      <c r="B8" s="9" t="inlineStr">
        <is>
          <t>Mg CO2/yr</t>
        </is>
      </c>
      <c r="C8" s="10" t="n"/>
      <c r="D8" s="10" t="n"/>
      <c r="E8" s="10" t="n"/>
      <c r="F8" s="10" t="n"/>
    </row>
    <row r="9">
      <c r="A9" s="8" t="inlineStr">
        <is>
          <t>Coastal protection</t>
        </is>
      </c>
      <c r="B9" s="9" t="inlineStr">
        <is>
          <t>m coastline</t>
        </is>
      </c>
      <c r="C9" s="10" t="n"/>
      <c r="D9" s="10" t="n"/>
      <c r="E9" s="10" t="n"/>
      <c r="F9" s="10" t="n"/>
    </row>
    <row r="10">
      <c r="A10" s="8" t="inlineStr">
        <is>
          <t>Recreation</t>
        </is>
      </c>
      <c r="B10" s="9" t="inlineStr">
        <is>
          <t>visitors/yr</t>
        </is>
      </c>
      <c r="C10" s="10" t="n"/>
      <c r="D10" s="10" t="n"/>
      <c r="E10" s="10" t="n"/>
      <c r="F10" s="10" t="n"/>
    </row>
    <row r="13">
      <c r="A13" s="11" t="inlineStr">
        <is>
          <t>Monetary Supply Table (Part B)</t>
        </is>
      </c>
    </row>
    <row r="14">
      <c r="A14" s="4" t="inlineStr">
        <is>
          <t>Transfer your Step 4 answers. Include the valuation method used.</t>
        </is>
      </c>
    </row>
    <row r="16">
      <c r="A16" s="7" t="inlineStr">
        <is>
          <t>Service</t>
        </is>
      </c>
      <c r="B16" s="7" t="inlineStr">
        <is>
          <t>Valuation method</t>
        </is>
      </c>
      <c r="C16" s="7" t="inlineStr">
        <is>
          <t>Coral reefs
(M1.3)</t>
        </is>
      </c>
      <c r="D16" s="7" t="inlineStr">
        <is>
          <t>Seagrass
(M1.1)</t>
        </is>
      </c>
      <c r="E16" s="7" t="inlineStr">
        <is>
          <t>Mangroves
(MFT1.2)</t>
        </is>
      </c>
      <c r="F16" s="7" t="inlineStr">
        <is>
          <t>Total (USD)</t>
        </is>
      </c>
    </row>
    <row r="17">
      <c r="A17" s="8" t="inlineStr">
        <is>
          <t>Fish provisioning</t>
        </is>
      </c>
      <c r="B17" s="10" t="n"/>
      <c r="C17" s="16" t="n"/>
      <c r="D17" s="16" t="n"/>
      <c r="E17" s="16" t="n"/>
      <c r="F17" s="16" t="n"/>
    </row>
    <row r="18">
      <c r="A18" s="8" t="inlineStr">
        <is>
          <t>Carbon sequestration</t>
        </is>
      </c>
      <c r="B18" s="10" t="n"/>
      <c r="C18" s="16" t="n"/>
      <c r="D18" s="16" t="n"/>
      <c r="E18" s="16" t="n"/>
      <c r="F18" s="16" t="n"/>
    </row>
    <row r="19">
      <c r="A19" s="8" t="inlineStr">
        <is>
          <t>Coastal protection</t>
        </is>
      </c>
      <c r="B19" s="10" t="n"/>
      <c r="C19" s="16" t="n"/>
      <c r="D19" s="16" t="n"/>
      <c r="E19" s="16" t="n"/>
      <c r="F19" s="16" t="n"/>
    </row>
    <row r="20">
      <c r="A20" s="8" t="inlineStr">
        <is>
          <t>Recreation</t>
        </is>
      </c>
      <c r="B20" s="10" t="n"/>
      <c r="C20" s="16" t="n"/>
      <c r="D20" s="16" t="n"/>
      <c r="E20" s="16" t="n"/>
      <c r="F20" s="16" t="n"/>
    </row>
    <row r="21">
      <c r="A21" s="8" t="inlineStr">
        <is>
          <t>GRAND TOTAL</t>
        </is>
      </c>
      <c r="B21" s="9" t="inlineStr"/>
      <c r="C21" s="16" t="n"/>
      <c r="D21" s="16" t="n"/>
      <c r="E21" s="16" t="n"/>
      <c r="F21" s="16" t="n"/>
    </row>
    <row r="23">
      <c r="A23" s="11" t="inlineStr">
        <is>
          <t>Summary and Interpretation</t>
        </is>
      </c>
    </row>
    <row r="25">
      <c r="A25" s="19" t="inlineStr">
        <is>
          <t>Total ecosystem service value (USD/yr):</t>
        </is>
      </c>
      <c r="B25" s="10" t="n"/>
      <c r="C25" s="20" t="n"/>
      <c r="D25" s="20" t="n"/>
      <c r="E25" s="20" t="n"/>
      <c r="F25" s="21" t="n"/>
    </row>
    <row r="26">
      <c r="A26" s="19" t="inlineStr">
        <is>
          <t>Highest-value service:</t>
        </is>
      </c>
      <c r="B26" s="10" t="n"/>
      <c r="C26" s="20" t="n"/>
      <c r="D26" s="20" t="n"/>
      <c r="E26" s="20" t="n"/>
      <c r="F26" s="21" t="n"/>
    </row>
    <row r="27">
      <c r="A27" s="19" t="inlineStr">
        <is>
          <t>Percentage of total from regulating services
(carbon + coastal protection):</t>
        </is>
      </c>
      <c r="B27" s="10" t="n"/>
      <c r="C27" s="20" t="n"/>
      <c r="D27" s="20" t="n"/>
      <c r="E27" s="20" t="n"/>
      <c r="F27" s="21" t="n"/>
    </row>
    <row r="28">
      <c r="A28" s="19" t="inlineStr">
        <is>
          <t>What does this tell you about
management priorities for this district?</t>
        </is>
      </c>
      <c r="B28" s="10" t="n"/>
      <c r="C28" s="20" t="n"/>
      <c r="D28" s="20" t="n"/>
      <c r="E28" s="20" t="n"/>
      <c r="F28" s="21" t="n"/>
    </row>
  </sheetData>
  <mergeCells count="4">
    <mergeCell ref="B26:F26"/>
    <mergeCell ref="B25:F25"/>
    <mergeCell ref="B27:F27"/>
    <mergeCell ref="B28:F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8" t="inlineStr">
        <is>
          <t>Step 6: Build the Use Tables -- Who Benefits?</t>
        </is>
      </c>
    </row>
    <row r="3">
      <c r="A3" s="29" t="inlineStr">
        <is>
          <t>The supply table (Step 5) shows where services come from. The use table shows who benefits.</t>
        </is>
      </c>
    </row>
    <row r="5">
      <c r="A5" s="30" t="inlineStr">
        <is>
          <t>Part 1: Beneficiary Mapping -- Which sectors benefit from each service?</t>
        </is>
      </c>
    </row>
    <row r="7">
      <c r="A7" s="31" t="inlineStr">
        <is>
          <t>Ecosystem service</t>
        </is>
      </c>
      <c r="B7" s="31" t="inlineStr">
        <is>
          <t>Primary beneficiary sector(s)</t>
        </is>
      </c>
    </row>
    <row r="8">
      <c r="A8" s="32" t="inlineStr">
        <is>
          <t>Fish provisioning</t>
        </is>
      </c>
      <c r="B8" s="33" t="inlineStr">
        <is>
          <t>Fisheries sector</t>
        </is>
      </c>
    </row>
    <row r="9">
      <c r="A9" s="32" t="inlineStr">
        <is>
          <t>Carbon sequestration</t>
        </is>
      </c>
      <c r="B9" s="33" t="inlineStr">
        <is>
          <t>Global community</t>
        </is>
      </c>
    </row>
    <row r="10">
      <c r="A10" s="32" t="inlineStr">
        <is>
          <t>Coastal protection</t>
        </is>
      </c>
      <c r="B10" s="33" t="inlineStr">
        <is>
          <t>Coastal households / Government (split)</t>
        </is>
      </c>
    </row>
    <row r="11">
      <c r="A11" s="32" t="inlineStr">
        <is>
          <t>Recreation</t>
        </is>
      </c>
      <c r="B11" s="33" t="inlineStr">
        <is>
          <t>Tourism sector + Coastal households</t>
        </is>
      </c>
    </row>
    <row r="12">
      <c r="A12" s="32" t="inlineStr">
        <is>
          <t>Gleaning</t>
        </is>
      </c>
      <c r="B12" s="33" t="inlineStr">
        <is>
          <t>Coastal households</t>
        </is>
      </c>
    </row>
    <row r="13">
      <c r="A13" s="32" t="inlineStr">
        <is>
          <t>Nursery habitat</t>
        </is>
      </c>
      <c r="B13" s="33" t="inlineStr">
        <is>
          <t>Fisheries sector (indirect)</t>
        </is>
      </c>
    </row>
    <row r="16">
      <c r="A16" s="30" t="inlineStr">
        <is>
          <t>Part 2: Physical Use Table</t>
        </is>
      </c>
    </row>
    <row r="17">
      <c r="A17" s="29" t="inlineStr">
        <is>
          <t>Fill in the physical quantities delivered to each beneficiary sector.</t>
        </is>
      </c>
    </row>
    <row r="19">
      <c r="A19" s="31" t="inlineStr">
        <is>
          <t>Service</t>
        </is>
      </c>
      <c r="B19" s="31" t="inlineStr">
        <is>
          <t>Unit</t>
        </is>
      </c>
      <c r="C19" s="31" t="inlineStr">
        <is>
          <t>Fisheries sector</t>
        </is>
      </c>
      <c r="D19" s="31" t="inlineStr">
        <is>
          <t>Tourism sector</t>
        </is>
      </c>
      <c r="E19" s="31" t="inlineStr">
        <is>
          <t>Coastal households</t>
        </is>
      </c>
      <c r="F19" s="31" t="inlineStr">
        <is>
          <t>Government</t>
        </is>
      </c>
      <c r="G19" s="31" t="inlineStr">
        <is>
          <t>Global community</t>
        </is>
      </c>
      <c r="H19" s="31" t="inlineStr">
        <is>
          <t>Total</t>
        </is>
      </c>
    </row>
    <row r="20">
      <c r="A20" s="32" t="inlineStr">
        <is>
          <t>Fish provisioning</t>
        </is>
      </c>
      <c r="B20" s="34" t="inlineStr">
        <is>
          <t>kg/yr</t>
        </is>
      </c>
      <c r="C20" s="35" t="n"/>
      <c r="D20" s="35" t="n"/>
      <c r="E20" s="35" t="n"/>
      <c r="F20" s="35" t="n"/>
      <c r="G20" s="35" t="n"/>
      <c r="H20" s="36">
        <f>SUM(C20:G20)</f>
        <v/>
      </c>
    </row>
    <row r="21">
      <c r="A21" s="32" t="inlineStr">
        <is>
          <t>Carbon sequestration</t>
        </is>
      </c>
      <c r="B21" s="34" t="inlineStr">
        <is>
          <t>Mg CO2/yr</t>
        </is>
      </c>
      <c r="C21" s="35" t="n"/>
      <c r="D21" s="35" t="n"/>
      <c r="E21" s="35" t="n"/>
      <c r="F21" s="35" t="n"/>
      <c r="G21" s="35" t="n"/>
      <c r="H21" s="36">
        <f>SUM(C21:G21)</f>
        <v/>
      </c>
    </row>
    <row r="22">
      <c r="A22" s="32" t="inlineStr">
        <is>
          <t>Coastal protection</t>
        </is>
      </c>
      <c r="B22" s="34" t="inlineStr">
        <is>
          <t>m coastline</t>
        </is>
      </c>
      <c r="C22" s="35" t="n"/>
      <c r="D22" s="35" t="n"/>
      <c r="E22" s="35" t="n"/>
      <c r="F22" s="35" t="n"/>
      <c r="G22" s="35" t="n"/>
      <c r="H22" s="36">
        <f>SUM(C22:G22)</f>
        <v/>
      </c>
    </row>
    <row r="23">
      <c r="A23" s="32" t="inlineStr">
        <is>
          <t>Nursery habitat</t>
        </is>
      </c>
      <c r="B23" s="34" t="inlineStr">
        <is>
          <t>kg biomass/yr</t>
        </is>
      </c>
      <c r="C23" s="35" t="n"/>
      <c r="D23" s="35" t="n"/>
      <c r="E23" s="35" t="n"/>
      <c r="F23" s="35" t="n"/>
      <c r="G23" s="35" t="n"/>
      <c r="H23" s="36">
        <f>SUM(C23:G23)</f>
        <v/>
      </c>
    </row>
    <row r="24">
      <c r="A24" s="32" t="inlineStr">
        <is>
          <t>Recreation</t>
        </is>
      </c>
      <c r="B24" s="34" t="inlineStr">
        <is>
          <t>visitors/yr</t>
        </is>
      </c>
      <c r="C24" s="35" t="n"/>
      <c r="D24" s="35" t="n"/>
      <c r="E24" s="35" t="n"/>
      <c r="F24" s="35" t="n"/>
      <c r="G24" s="35" t="n"/>
      <c r="H24" s="36">
        <f>SUM(C24:G24)</f>
        <v/>
      </c>
    </row>
    <row r="25">
      <c r="A25" s="32" t="inlineStr">
        <is>
          <t>Gleaning</t>
        </is>
      </c>
      <c r="B25" s="34" t="inlineStr">
        <is>
          <t>hours/yr</t>
        </is>
      </c>
      <c r="C25" s="35" t="n"/>
      <c r="D25" s="35" t="n"/>
      <c r="E25" s="35" t="n"/>
      <c r="F25" s="35" t="n"/>
      <c r="G25" s="35" t="n"/>
      <c r="H25" s="36">
        <f>SUM(C25:G25)</f>
        <v/>
      </c>
    </row>
    <row r="26">
      <c r="A26" s="32" t="inlineStr">
        <is>
          <t>TOTAL</t>
        </is>
      </c>
      <c r="B26" s="37" t="n"/>
      <c r="C26" s="36">
        <f>SUM(C20:C25)</f>
        <v/>
      </c>
      <c r="D26" s="36">
        <f>SUM(D20:D25)</f>
        <v/>
      </c>
      <c r="E26" s="36">
        <f>SUM(E20:E25)</f>
        <v/>
      </c>
      <c r="F26" s="36">
        <f>SUM(F20:F25)</f>
        <v/>
      </c>
      <c r="G26" s="36">
        <f>SUM(G20:G25)</f>
        <v/>
      </c>
      <c r="H26" s="36">
        <f>SUM(H20:H25)</f>
        <v/>
      </c>
    </row>
    <row r="29">
      <c r="A29" s="30" t="inlineStr">
        <is>
          <t>Part 3: Monetary Use Table (USD/yr)</t>
        </is>
      </c>
    </row>
    <row r="30">
      <c r="A30" s="29" t="inlineStr">
        <is>
          <t>Fill in the monetary values delivered to each beneficiary sector.</t>
        </is>
      </c>
    </row>
    <row r="32">
      <c r="A32" s="31" t="inlineStr">
        <is>
          <t>Service</t>
        </is>
      </c>
      <c r="B32" s="31" t="inlineStr">
        <is>
          <t>Valuation method</t>
        </is>
      </c>
      <c r="C32" s="31" t="inlineStr">
        <is>
          <t>Fisheries sector</t>
        </is>
      </c>
      <c r="D32" s="31" t="inlineStr">
        <is>
          <t>Tourism sector</t>
        </is>
      </c>
      <c r="E32" s="31" t="inlineStr">
        <is>
          <t>Coastal households</t>
        </is>
      </c>
      <c r="F32" s="31" t="inlineStr">
        <is>
          <t>Government</t>
        </is>
      </c>
      <c r="G32" s="31" t="inlineStr">
        <is>
          <t>Global community</t>
        </is>
      </c>
      <c r="H32" s="31" t="inlineStr">
        <is>
          <t>Total</t>
        </is>
      </c>
    </row>
    <row r="33">
      <c r="A33" s="32" t="inlineStr">
        <is>
          <t>Fish provisioning</t>
        </is>
      </c>
      <c r="B33" s="38" t="n"/>
      <c r="C33" s="35" t="n"/>
      <c r="D33" s="35" t="n"/>
      <c r="E33" s="35" t="n"/>
      <c r="F33" s="35" t="n"/>
      <c r="G33" s="35" t="n"/>
      <c r="H33" s="36">
        <f>SUM(C33:G33)</f>
        <v/>
      </c>
    </row>
    <row r="34">
      <c r="A34" s="32" t="inlineStr">
        <is>
          <t>Carbon sequestration</t>
        </is>
      </c>
      <c r="B34" s="38" t="n"/>
      <c r="C34" s="35" t="n"/>
      <c r="D34" s="35" t="n"/>
      <c r="E34" s="35" t="n"/>
      <c r="F34" s="35" t="n"/>
      <c r="G34" s="35" t="n"/>
      <c r="H34" s="36">
        <f>SUM(C34:G34)</f>
        <v/>
      </c>
    </row>
    <row r="35">
      <c r="A35" s="32" t="inlineStr">
        <is>
          <t>Coastal protection</t>
        </is>
      </c>
      <c r="B35" s="38" t="n"/>
      <c r="C35" s="35" t="n"/>
      <c r="D35" s="35" t="n"/>
      <c r="E35" s="35" t="n"/>
      <c r="F35" s="35" t="n"/>
      <c r="G35" s="35" t="n"/>
      <c r="H35" s="36">
        <f>SUM(C35:G35)</f>
        <v/>
      </c>
    </row>
    <row r="36">
      <c r="A36" s="32" t="inlineStr">
        <is>
          <t>Nursery habitat</t>
        </is>
      </c>
      <c r="B36" s="38" t="n"/>
      <c r="C36" s="35" t="n"/>
      <c r="D36" s="35" t="n"/>
      <c r="E36" s="35" t="n"/>
      <c r="F36" s="35" t="n"/>
      <c r="G36" s="35" t="n"/>
      <c r="H36" s="36">
        <f>SUM(C36:G36)</f>
        <v/>
      </c>
    </row>
    <row r="37">
      <c r="A37" s="32" t="inlineStr">
        <is>
          <t>Recreation</t>
        </is>
      </c>
      <c r="B37" s="38" t="n"/>
      <c r="C37" s="35" t="n"/>
      <c r="D37" s="35" t="n"/>
      <c r="E37" s="35" t="n"/>
      <c r="F37" s="35" t="n"/>
      <c r="G37" s="35" t="n"/>
      <c r="H37" s="36">
        <f>SUM(C37:G37)</f>
        <v/>
      </c>
    </row>
    <row r="38">
      <c r="A38" s="32" t="inlineStr">
        <is>
          <t>Gleaning</t>
        </is>
      </c>
      <c r="B38" s="38" t="n"/>
      <c r="C38" s="35" t="n"/>
      <c r="D38" s="35" t="n"/>
      <c r="E38" s="35" t="n"/>
      <c r="F38" s="35" t="n"/>
      <c r="G38" s="35" t="n"/>
      <c r="H38" s="36">
        <f>SUM(C38:G38)</f>
        <v/>
      </c>
    </row>
    <row r="39">
      <c r="A39" s="32" t="inlineStr">
        <is>
          <t>TOTAL</t>
        </is>
      </c>
      <c r="B39" s="37" t="n"/>
      <c r="C39" s="36">
        <f>SUM(C33:C38)</f>
        <v/>
      </c>
      <c r="D39" s="36">
        <f>SUM(D33:D38)</f>
        <v/>
      </c>
      <c r="E39" s="36">
        <f>SUM(E33:E38)</f>
        <v/>
      </c>
      <c r="F39" s="36">
        <f>SUM(F33:F38)</f>
        <v/>
      </c>
      <c r="G39" s="36">
        <f>SUM(G33:G38)</f>
        <v/>
      </c>
      <c r="H39" s="36">
        <f>SUM(H33:H38)</f>
        <v/>
      </c>
    </row>
    <row r="42">
      <c r="A42" s="30" t="inlineStr">
        <is>
          <t>Discussion Questions</t>
        </is>
      </c>
    </row>
    <row r="44">
      <c r="A44" s="39" t="inlineStr">
        <is>
          <t>Q1: Which sector receives the most value? What does this mean for management?</t>
        </is>
      </c>
    </row>
    <row r="45">
      <c r="A45" s="39" t="inlineStr">
        <is>
          <t>Q2: Are there equity implications in how benefits are distributed across sectors?</t>
        </is>
      </c>
    </row>
  </sheetData>
  <mergeCells count="10">
    <mergeCell ref="A1:H1"/>
    <mergeCell ref="A45:H45"/>
    <mergeCell ref="A3:H3"/>
    <mergeCell ref="A30:H30"/>
    <mergeCell ref="A29:H29"/>
    <mergeCell ref="A16:H16"/>
    <mergeCell ref="A42:H42"/>
    <mergeCell ref="A44:H44"/>
    <mergeCell ref="A5:H5"/>
    <mergeCell ref="A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A5455"/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Answer Key</t>
        </is>
      </c>
    </row>
    <row r="3">
      <c r="A3" s="4" t="inlineStr">
        <is>
          <t>Check your work against the correct answers below.</t>
        </is>
      </c>
    </row>
    <row r="5">
      <c r="A5" s="11" t="inlineStr">
        <is>
          <t>Step 1: Service-Ecosystem Matrix</t>
        </is>
      </c>
    </row>
    <row r="7">
      <c r="A7" s="7" t="inlineStr">
        <is>
          <t>Service</t>
        </is>
      </c>
      <c r="B7" s="7" t="inlineStr">
        <is>
          <t>Coral reefs</t>
        </is>
      </c>
      <c r="C7" s="7" t="inlineStr">
        <is>
          <t>Seagrass</t>
        </is>
      </c>
      <c r="D7" s="7" t="inlineStr">
        <is>
          <t>Mangroves</t>
        </is>
      </c>
    </row>
    <row r="8">
      <c r="A8" s="8" t="inlineStr">
        <is>
          <t>Fish provisioning</t>
        </is>
      </c>
      <c r="B8" s="22" t="inlineStr">
        <is>
          <t>Y</t>
        </is>
      </c>
      <c r="C8" s="22" t="inlineStr">
        <is>
          <t>Y</t>
        </is>
      </c>
      <c r="D8" s="22" t="inlineStr">
        <is>
          <t>Y</t>
        </is>
      </c>
    </row>
    <row r="9">
      <c r="A9" s="8" t="inlineStr">
        <is>
          <t>Carbon sequestration</t>
        </is>
      </c>
      <c r="B9" s="22" t="inlineStr">
        <is>
          <t>N</t>
        </is>
      </c>
      <c r="C9" s="22" t="inlineStr">
        <is>
          <t>Y</t>
        </is>
      </c>
      <c r="D9" s="22" t="inlineStr">
        <is>
          <t>Y</t>
        </is>
      </c>
    </row>
    <row r="10">
      <c r="A10" s="8" t="inlineStr">
        <is>
          <t>Coastal protection</t>
        </is>
      </c>
      <c r="B10" s="22" t="inlineStr">
        <is>
          <t>Y</t>
        </is>
      </c>
      <c r="C10" s="22" t="inlineStr">
        <is>
          <t>N</t>
        </is>
      </c>
      <c r="D10" s="22" t="inlineStr">
        <is>
          <t>Y</t>
        </is>
      </c>
    </row>
    <row r="11">
      <c r="A11" s="8" t="inlineStr">
        <is>
          <t>Nursery habitat</t>
        </is>
      </c>
      <c r="B11" s="22" t="inlineStr">
        <is>
          <t>Y</t>
        </is>
      </c>
      <c r="C11" s="22" t="inlineStr">
        <is>
          <t>Y</t>
        </is>
      </c>
      <c r="D11" s="22" t="inlineStr">
        <is>
          <t>Y</t>
        </is>
      </c>
    </row>
    <row r="12">
      <c r="A12" s="8" t="inlineStr">
        <is>
          <t>Recreation</t>
        </is>
      </c>
      <c r="B12" s="22" t="inlineStr">
        <is>
          <t>Y</t>
        </is>
      </c>
      <c r="C12" s="22" t="inlineStr">
        <is>
          <t>N</t>
        </is>
      </c>
      <c r="D12" s="22" t="inlineStr">
        <is>
          <t>Y</t>
        </is>
      </c>
    </row>
    <row r="13">
      <c r="A13" s="8" t="inlineStr">
        <is>
          <t>Gleaning</t>
        </is>
      </c>
      <c r="B13" s="22" t="inlineStr">
        <is>
          <t>Y</t>
        </is>
      </c>
      <c r="C13" s="22" t="inlineStr">
        <is>
          <t>Y</t>
        </is>
      </c>
      <c r="D13" s="22" t="inlineStr">
        <is>
          <t>Y</t>
        </is>
      </c>
    </row>
    <row r="16">
      <c r="A16" s="11" t="inlineStr">
        <is>
          <t>Step 2: Physical Supply Table (Part A)</t>
        </is>
      </c>
    </row>
    <row r="18">
      <c r="A18" s="7" t="inlineStr">
        <is>
          <t>Service</t>
        </is>
      </c>
      <c r="B18" s="7" t="inlineStr">
        <is>
          <t>Unit</t>
        </is>
      </c>
      <c r="C18" s="7" t="inlineStr">
        <is>
          <t>Coral reefs</t>
        </is>
      </c>
      <c r="D18" s="7" t="inlineStr">
        <is>
          <t>Seagrass</t>
        </is>
      </c>
      <c r="E18" s="7" t="inlineStr">
        <is>
          <t>Mangroves</t>
        </is>
      </c>
      <c r="F18" s="7" t="inlineStr">
        <is>
          <t>Total</t>
        </is>
      </c>
    </row>
    <row r="19">
      <c r="A19" s="8" t="inlineStr">
        <is>
          <t>Fish provisioning</t>
        </is>
      </c>
      <c r="B19" s="23" t="inlineStr">
        <is>
          <t>kg/yr</t>
        </is>
      </c>
      <c r="C19" s="24" t="n">
        <v>120000</v>
      </c>
      <c r="D19" s="24" t="n">
        <v>45000</v>
      </c>
      <c r="E19" s="24" t="n">
        <v>15000</v>
      </c>
      <c r="F19" s="24" t="n">
        <v>180000</v>
      </c>
    </row>
    <row r="20">
      <c r="A20" s="8" t="inlineStr">
        <is>
          <t>Carbon sequestration</t>
        </is>
      </c>
      <c r="B20" s="23" t="inlineStr">
        <is>
          <t>Mg CO2/yr</t>
        </is>
      </c>
      <c r="C20" s="24" t="n">
        <v>0</v>
      </c>
      <c r="D20" s="24" t="n">
        <v>1040</v>
      </c>
      <c r="E20" s="24" t="n">
        <v>1295</v>
      </c>
      <c r="F20" s="24" t="n">
        <v>2335</v>
      </c>
    </row>
    <row r="21">
      <c r="A21" s="8" t="inlineStr">
        <is>
          <t>Coastal protection</t>
        </is>
      </c>
      <c r="B21" s="23" t="inlineStr">
        <is>
          <t>m coastline</t>
        </is>
      </c>
      <c r="C21" s="24" t="n">
        <v>12000</v>
      </c>
      <c r="D21" s="24" t="n">
        <v>0</v>
      </c>
      <c r="E21" s="24" t="n">
        <v>3500</v>
      </c>
      <c r="F21" s="24" t="n">
        <v>15500</v>
      </c>
    </row>
    <row r="22">
      <c r="A22" s="8" t="inlineStr">
        <is>
          <t>Recreation</t>
        </is>
      </c>
      <c r="B22" s="23" t="inlineStr">
        <is>
          <t>visitors/yr</t>
        </is>
      </c>
      <c r="C22" s="24" t="n">
        <v>15000</v>
      </c>
      <c r="D22" s="24" t="n">
        <v>0</v>
      </c>
      <c r="E22" s="24" t="n">
        <v>2400</v>
      </c>
      <c r="F22" s="24" t="n">
        <v>17400</v>
      </c>
    </row>
    <row r="25">
      <c r="A25" s="11" t="inlineStr">
        <is>
          <t>Step 3: Valuation Methods</t>
        </is>
      </c>
    </row>
    <row r="27">
      <c r="A27" s="7" t="inlineStr">
        <is>
          <t>Service</t>
        </is>
      </c>
      <c r="B27" s="7" t="inlineStr">
        <is>
          <t>Valuation method</t>
        </is>
      </c>
      <c r="C27" s="7" t="inlineStr">
        <is>
          <t>Data needed</t>
        </is>
      </c>
    </row>
    <row r="28">
      <c r="A28" s="8" t="inlineStr">
        <is>
          <t>Fish provisioning</t>
        </is>
      </c>
      <c r="B28" s="25" t="inlineStr">
        <is>
          <t>Resource rent</t>
        </is>
      </c>
      <c r="C28" s="25" t="inlineStr">
        <is>
          <t>Catch, price, labour/fuel/gear/capital costs</t>
        </is>
      </c>
    </row>
    <row r="29">
      <c r="A29" s="8" t="inlineStr">
        <is>
          <t>Carbon sequestration</t>
        </is>
      </c>
      <c r="B29" s="25" t="inlineStr">
        <is>
          <t>Social cost of carbon</t>
        </is>
      </c>
      <c r="C29" s="25" t="inlineStr">
        <is>
          <t>Physical supply (Mg CO2), SCC price ($51)</t>
        </is>
      </c>
    </row>
    <row r="30">
      <c r="A30" s="8" t="inlineStr">
        <is>
          <t>Coastal protection</t>
        </is>
      </c>
      <c r="B30" s="25" t="inlineStr">
        <is>
          <t>Replacement cost</t>
        </is>
      </c>
      <c r="C30" s="25" t="inlineStr">
        <is>
          <t>Coastline length, seawall cost/m, lifespan</t>
        </is>
      </c>
    </row>
    <row r="31">
      <c r="A31" s="8" t="inlineStr">
        <is>
          <t>Recreation</t>
        </is>
      </c>
      <c r="B31" s="25" t="inlineStr">
        <is>
          <t>Direct expenditure</t>
        </is>
      </c>
      <c r="C31" s="25" t="inlineStr">
        <is>
          <t>Visitor numbers, average spend per visitor</t>
        </is>
      </c>
    </row>
    <row r="34">
      <c r="A34" s="11" t="inlineStr">
        <is>
          <t>Step 4: Monetary Values</t>
        </is>
      </c>
    </row>
    <row r="36">
      <c r="A36" s="2" t="inlineStr">
        <is>
          <t>A. Fish provisioning</t>
        </is>
      </c>
    </row>
    <row r="37">
      <c r="A37" s="19" t="inlineStr">
        <is>
          <t>Gross revenue</t>
        </is>
      </c>
      <c r="B37" s="26" t="inlineStr">
        <is>
          <t>180,000 kg x $3.50</t>
        </is>
      </c>
      <c r="C37" s="24" t="n">
        <v>630000</v>
      </c>
    </row>
    <row r="38">
      <c r="A38" s="19" t="inlineStr">
        <is>
          <t>Total costs</t>
        </is>
      </c>
      <c r="B38" s="26" t="inlineStr">
        <is>
          <t>180,000 + 120,000 + 80,000 + 40,000</t>
        </is>
      </c>
      <c r="C38" s="24" t="n">
        <v>420000</v>
      </c>
    </row>
    <row r="39">
      <c r="A39" s="19" t="inlineStr">
        <is>
          <t>Resource rent</t>
        </is>
      </c>
      <c r="B39" s="26" t="inlineStr">
        <is>
          <t>630,000 - 420,000</t>
        </is>
      </c>
      <c r="C39" s="24" t="n">
        <v>210000</v>
      </c>
    </row>
    <row r="41">
      <c r="A41" s="2" t="inlineStr">
        <is>
          <t>B. Carbon sequestration</t>
        </is>
      </c>
    </row>
    <row r="42">
      <c r="A42" s="8" t="inlineStr">
        <is>
          <t>Mangroves</t>
        </is>
      </c>
      <c r="B42" s="26" t="inlineStr">
        <is>
          <t>350 x 3.7 = 1,295 Mg CO2</t>
        </is>
      </c>
      <c r="C42" s="26" t="inlineStr">
        <is>
          <t>1,295 x $51</t>
        </is>
      </c>
      <c r="D42" s="24" t="n">
        <v>66045</v>
      </c>
    </row>
    <row r="43">
      <c r="A43" s="8" t="inlineStr">
        <is>
          <t>Seagrass</t>
        </is>
      </c>
      <c r="B43" s="26" t="inlineStr">
        <is>
          <t>800 x 1.3 = 1,040 Mg CO2</t>
        </is>
      </c>
      <c r="C43" s="26" t="inlineStr">
        <is>
          <t>1,040 x $51</t>
        </is>
      </c>
      <c r="D43" s="24" t="n">
        <v>53040</v>
      </c>
    </row>
    <row r="44">
      <c r="A44" s="8" t="inlineStr">
        <is>
          <t>Total</t>
        </is>
      </c>
      <c r="B44" s="26" t="inlineStr">
        <is>
          <t>2,335 Mg CO2</t>
        </is>
      </c>
      <c r="C44" s="26" t="inlineStr"/>
      <c r="D44" s="24" t="n">
        <v>119085</v>
      </c>
    </row>
    <row r="46">
      <c r="A46" s="2" t="inlineStr">
        <is>
          <t>C. Coastal protection</t>
        </is>
      </c>
    </row>
    <row r="47">
      <c r="A47" s="19" t="inlineStr">
        <is>
          <t>Total coastline</t>
        </is>
      </c>
      <c r="B47" s="26" t="inlineStr">
        <is>
          <t>12,000 + 3,500</t>
        </is>
      </c>
      <c r="C47" s="24" t="n">
        <v>15500</v>
      </c>
    </row>
    <row r="48">
      <c r="A48" s="19" t="inlineStr">
        <is>
          <t>Total replacement cost</t>
        </is>
      </c>
      <c r="B48" s="26" t="inlineStr">
        <is>
          <t>15,500 x $5,000</t>
        </is>
      </c>
      <c r="C48" s="24" t="n">
        <v>77500000</v>
      </c>
    </row>
    <row r="49">
      <c r="A49" s="19" t="inlineStr">
        <is>
          <t>Annualized value</t>
        </is>
      </c>
      <c r="B49" s="26" t="inlineStr">
        <is>
          <t>77,500,000 / 50</t>
        </is>
      </c>
      <c r="C49" s="24" t="n">
        <v>1550000</v>
      </c>
    </row>
    <row r="51">
      <c r="A51" s="2" t="inlineStr">
        <is>
          <t>D. Recreation</t>
        </is>
      </c>
    </row>
    <row r="52">
      <c r="A52" s="19" t="inlineStr">
        <is>
          <t>Reef diving/snorkelling</t>
        </is>
      </c>
      <c r="B52" s="26" t="inlineStr">
        <is>
          <t>15,000 x $85</t>
        </is>
      </c>
      <c r="C52" s="24" t="n">
        <v>1275000</v>
      </c>
    </row>
    <row r="53">
      <c r="A53" s="19" t="inlineStr">
        <is>
          <t>Mangrove tours</t>
        </is>
      </c>
      <c r="B53" s="26" t="inlineStr">
        <is>
          <t>2,400 x $35</t>
        </is>
      </c>
      <c r="C53" s="24" t="n">
        <v>84000</v>
      </c>
    </row>
    <row r="54">
      <c r="A54" s="19" t="inlineStr">
        <is>
          <t>Total</t>
        </is>
      </c>
      <c r="B54" s="26" t="inlineStr"/>
      <c r="C54" s="24" t="n">
        <v>1359000</v>
      </c>
    </row>
    <row r="57">
      <c r="A57" s="11" t="inlineStr">
        <is>
          <t>Step 5: Complete Monetary Supply Table (Part B)</t>
        </is>
      </c>
    </row>
    <row r="59">
      <c r="A59" s="7" t="inlineStr">
        <is>
          <t>Service</t>
        </is>
      </c>
      <c r="B59" s="7" t="inlineStr">
        <is>
          <t>Method</t>
        </is>
      </c>
      <c r="C59" s="7" t="inlineStr">
        <is>
          <t>Coral reefs</t>
        </is>
      </c>
      <c r="D59" s="7" t="inlineStr">
        <is>
          <t>Seagrass</t>
        </is>
      </c>
      <c r="E59" s="7" t="inlineStr">
        <is>
          <t>Mangroves</t>
        </is>
      </c>
      <c r="F59" s="7" t="inlineStr">
        <is>
          <t>Total (USD)</t>
        </is>
      </c>
    </row>
    <row r="60">
      <c r="A60" s="8" t="inlineStr">
        <is>
          <t>Fish provisioning</t>
        </is>
      </c>
      <c r="B60" s="13" t="inlineStr">
        <is>
          <t>Resource rent</t>
        </is>
      </c>
      <c r="C60" s="24" t="n">
        <v>140000</v>
      </c>
      <c r="D60" s="24" t="n">
        <v>52500</v>
      </c>
      <c r="E60" s="24" t="n">
        <v>17500</v>
      </c>
      <c r="F60" s="24" t="n">
        <v>210000</v>
      </c>
    </row>
    <row r="61">
      <c r="A61" s="8" t="inlineStr">
        <is>
          <t>Carbon sequestration</t>
        </is>
      </c>
      <c r="B61" s="13" t="inlineStr">
        <is>
          <t>Social cost of carbon</t>
        </is>
      </c>
      <c r="C61" s="24" t="n">
        <v>0</v>
      </c>
      <c r="D61" s="24" t="n">
        <v>53040</v>
      </c>
      <c r="E61" s="24" t="n">
        <v>66045</v>
      </c>
      <c r="F61" s="24" t="n">
        <v>119085</v>
      </c>
    </row>
    <row r="62">
      <c r="A62" s="8" t="inlineStr">
        <is>
          <t>Coastal protection</t>
        </is>
      </c>
      <c r="B62" s="13" t="inlineStr">
        <is>
          <t>Replacement cost</t>
        </is>
      </c>
      <c r="C62" s="24" t="n">
        <v>1200000</v>
      </c>
      <c r="D62" s="24" t="n">
        <v>0</v>
      </c>
      <c r="E62" s="24" t="n">
        <v>350000</v>
      </c>
      <c r="F62" s="24" t="n">
        <v>1550000</v>
      </c>
    </row>
    <row r="63">
      <c r="A63" s="8" t="inlineStr">
        <is>
          <t>Recreation</t>
        </is>
      </c>
      <c r="B63" s="13" t="inlineStr">
        <is>
          <t>Direct expenditure</t>
        </is>
      </c>
      <c r="C63" s="24" t="n">
        <v>1275000</v>
      </c>
      <c r="D63" s="24" t="n">
        <v>0</v>
      </c>
      <c r="E63" s="24" t="n">
        <v>84000</v>
      </c>
      <c r="F63" s="24" t="n">
        <v>1359000</v>
      </c>
    </row>
    <row r="64">
      <c r="A64" s="8" t="inlineStr">
        <is>
          <t>GRAND TOTAL</t>
        </is>
      </c>
      <c r="B64" s="13" t="inlineStr"/>
      <c r="C64" s="27" t="n">
        <v>2615000</v>
      </c>
      <c r="D64" s="27" t="n">
        <v>105540</v>
      </c>
      <c r="E64" s="27" t="n">
        <v>517545</v>
      </c>
      <c r="F64" s="27" t="n">
        <v>3238085</v>
      </c>
    </row>
    <row r="66">
      <c r="A66" s="11" t="inlineStr">
        <is>
          <t>Summary Metrics</t>
        </is>
      </c>
    </row>
    <row r="68">
      <c r="A68" s="19" t="inlineStr">
        <is>
          <t>Total ecosystem service value (USD/yr)</t>
        </is>
      </c>
      <c r="B68" s="25" t="inlineStr">
        <is>
          <t>$3,238,085</t>
        </is>
      </c>
      <c r="C68" s="20" t="n"/>
      <c r="D68" s="20" t="n"/>
      <c r="E68" s="20" t="n"/>
      <c r="F68" s="21" t="n"/>
    </row>
    <row r="69">
      <c r="A69" s="19" t="inlineStr">
        <is>
          <t>Highest-value service</t>
        </is>
      </c>
      <c r="B69" s="25" t="inlineStr">
        <is>
          <t>Coastal protection ($1,550,000/yr)</t>
        </is>
      </c>
      <c r="C69" s="20" t="n"/>
      <c r="D69" s="20" t="n"/>
      <c r="E69" s="20" t="n"/>
      <c r="F69" s="21" t="n"/>
    </row>
    <row r="70">
      <c r="A70" s="19" t="inlineStr">
        <is>
          <t>Percentage from regulating services</t>
        </is>
      </c>
      <c r="B70" s="25" t="inlineStr">
        <is>
          <t>51.5% ($1,669,085 out of $3,238,085)</t>
        </is>
      </c>
      <c r="C70" s="20" t="n"/>
      <c r="D70" s="20" t="n"/>
      <c r="E70" s="20" t="n"/>
      <c r="F70" s="21" t="n"/>
    </row>
    <row r="71">
      <c r="A71" s="19" t="inlineStr">
        <is>
          <t>Management implication</t>
        </is>
      </c>
      <c r="B71" s="25" t="inlineStr">
        <is>
          <t>Coastal protection dominates the account, highlighting that maintaining reef and mangrove extent is critical. Degradation would require very expensive built infrastructure to replace.</t>
        </is>
      </c>
      <c r="C71" s="20" t="n"/>
      <c r="D71" s="20" t="n"/>
      <c r="E71" s="20" t="n"/>
      <c r="F71" s="21" t="n"/>
    </row>
    <row r="73">
      <c r="A73" s="40" t="inlineStr">
        <is>
          <t>Step 6: Use Tables -- Answers</t>
        </is>
      </c>
    </row>
    <row r="75">
      <c r="A75" s="5" t="inlineStr">
        <is>
          <t>Beneficiary Mapping:</t>
        </is>
      </c>
    </row>
    <row r="76">
      <c r="A76" s="6" t="inlineStr">
        <is>
          <t>Fish provisioning -&gt; Fisheries sector (they harvest and sell the fish)</t>
        </is>
      </c>
    </row>
    <row r="77">
      <c r="A77" s="6" t="inlineStr">
        <is>
          <t>Carbon sequestration -&gt; Global community (climate regulation benefits everyone)</t>
        </is>
      </c>
    </row>
    <row r="78">
      <c r="A78" s="6" t="inlineStr">
        <is>
          <t>Coastal protection -&gt; Split between Coastal households (property protection) and Government (infrastructure)</t>
        </is>
      </c>
    </row>
    <row r="79">
      <c r="A79" s="6" t="inlineStr">
        <is>
          <t>Nursery habitat -&gt; Fisheries sector (supports fish stocks they depend on)</t>
        </is>
      </c>
    </row>
    <row r="80">
      <c r="A80" s="6" t="inlineStr">
        <is>
          <t>Recreation -&gt; Tourism sector (businesses) + Coastal households (local recreation)</t>
        </is>
      </c>
    </row>
    <row r="81">
      <c r="A81" s="6" t="inlineStr">
        <is>
          <t>Gleaning -&gt; Coastal households (subsistence and supplementary income)</t>
        </is>
      </c>
    </row>
    <row r="83">
      <c r="A83" s="5" t="inlineStr">
        <is>
          <t>Physical Use Table (example answers):</t>
        </is>
      </c>
    </row>
    <row r="84">
      <c r="A84" s="31" t="inlineStr">
        <is>
          <t>Service</t>
        </is>
      </c>
      <c r="B84" s="31" t="inlineStr">
        <is>
          <t>Unit</t>
        </is>
      </c>
      <c r="C84" s="31" t="inlineStr">
        <is>
          <t>Fisheries</t>
        </is>
      </c>
      <c r="D84" s="31" t="inlineStr">
        <is>
          <t>Tourism</t>
        </is>
      </c>
      <c r="E84" s="31" t="inlineStr">
        <is>
          <t>Coastal HH</t>
        </is>
      </c>
      <c r="F84" s="31" t="inlineStr">
        <is>
          <t>Government</t>
        </is>
      </c>
      <c r="G84" s="31" t="inlineStr">
        <is>
          <t>Global</t>
        </is>
      </c>
      <c r="H84" s="31" t="inlineStr">
        <is>
          <t>Total</t>
        </is>
      </c>
    </row>
    <row r="85">
      <c r="A85" s="41" t="inlineStr">
        <is>
          <t>Fish provisioning</t>
        </is>
      </c>
      <c r="B85" s="42" t="inlineStr">
        <is>
          <t>kg/yr</t>
        </is>
      </c>
      <c r="C85" s="43" t="n">
        <v>180000</v>
      </c>
      <c r="D85" s="43" t="n">
        <v>0</v>
      </c>
      <c r="E85" s="43" t="n">
        <v>0</v>
      </c>
      <c r="F85" s="43" t="n">
        <v>0</v>
      </c>
      <c r="G85" s="43" t="n">
        <v>0</v>
      </c>
      <c r="H85" s="44" t="n">
        <v>180000</v>
      </c>
    </row>
    <row r="86">
      <c r="A86" s="41" t="inlineStr">
        <is>
          <t>Carbon sequestration</t>
        </is>
      </c>
      <c r="B86" s="42" t="inlineStr">
        <is>
          <t>Mg CO2/yr</t>
        </is>
      </c>
      <c r="C86" s="43" t="n">
        <v>0</v>
      </c>
      <c r="D86" s="43" t="n">
        <v>0</v>
      </c>
      <c r="E86" s="43" t="n">
        <v>0</v>
      </c>
      <c r="F86" s="43" t="n">
        <v>0</v>
      </c>
      <c r="G86" s="43" t="n">
        <v>2335</v>
      </c>
      <c r="H86" s="44" t="n">
        <v>2335</v>
      </c>
    </row>
    <row r="87">
      <c r="A87" s="41" t="inlineStr">
        <is>
          <t>Coastal protection</t>
        </is>
      </c>
      <c r="B87" s="42" t="inlineStr">
        <is>
          <t>m coastline</t>
        </is>
      </c>
      <c r="C87" s="43" t="n">
        <v>0</v>
      </c>
      <c r="D87" s="43" t="n">
        <v>0</v>
      </c>
      <c r="E87" s="43" t="n">
        <v>10000</v>
      </c>
      <c r="F87" s="43" t="n">
        <v>5500</v>
      </c>
      <c r="G87" s="43" t="n">
        <v>0</v>
      </c>
      <c r="H87" s="44" t="n">
        <v>15500</v>
      </c>
    </row>
    <row r="88">
      <c r="A88" s="41" t="inlineStr">
        <is>
          <t>Nursery habitat</t>
        </is>
      </c>
      <c r="B88" s="42" t="inlineStr">
        <is>
          <t>kg/yr</t>
        </is>
      </c>
      <c r="C88" s="43" t="n">
        <v>7300</v>
      </c>
      <c r="D88" s="43" t="n">
        <v>0</v>
      </c>
      <c r="E88" s="43" t="n">
        <v>0</v>
      </c>
      <c r="F88" s="43" t="n">
        <v>0</v>
      </c>
      <c r="G88" s="43" t="n">
        <v>0</v>
      </c>
      <c r="H88" s="44" t="n">
        <v>7300</v>
      </c>
    </row>
    <row r="89">
      <c r="A89" s="41" t="inlineStr">
        <is>
          <t>Recreation</t>
        </is>
      </c>
      <c r="B89" s="42" t="inlineStr">
        <is>
          <t>visitors/yr</t>
        </is>
      </c>
      <c r="C89" s="43" t="n">
        <v>0</v>
      </c>
      <c r="D89" s="43" t="n">
        <v>15000</v>
      </c>
      <c r="E89" s="43" t="n">
        <v>2400</v>
      </c>
      <c r="F89" s="43" t="n">
        <v>0</v>
      </c>
      <c r="G89" s="43" t="n">
        <v>0</v>
      </c>
      <c r="H89" s="44" t="n">
        <v>17400</v>
      </c>
    </row>
    <row r="90">
      <c r="A90" s="41" t="inlineStr">
        <is>
          <t>Gleaning</t>
        </is>
      </c>
      <c r="B90" s="42" t="inlineStr">
        <is>
          <t>hours/yr</t>
        </is>
      </c>
      <c r="C90" s="43" t="n">
        <v>0</v>
      </c>
      <c r="D90" s="43" t="n">
        <v>0</v>
      </c>
      <c r="E90" s="43" t="n">
        <v>18000</v>
      </c>
      <c r="F90" s="43" t="n">
        <v>0</v>
      </c>
      <c r="G90" s="43" t="n">
        <v>0</v>
      </c>
      <c r="H90" s="44" t="n">
        <v>18000</v>
      </c>
    </row>
    <row r="92">
      <c r="A92" s="5" t="inlineStr">
        <is>
          <t>Monetary Use Table (example answers, USD/yr):</t>
        </is>
      </c>
    </row>
    <row r="93">
      <c r="A93" s="31" t="inlineStr">
        <is>
          <t>Service</t>
        </is>
      </c>
      <c r="B93" s="31" t="inlineStr">
        <is>
          <t>Method</t>
        </is>
      </c>
      <c r="C93" s="31" t="inlineStr">
        <is>
          <t>Fisheries</t>
        </is>
      </c>
      <c r="D93" s="31" t="inlineStr">
        <is>
          <t>Tourism</t>
        </is>
      </c>
      <c r="E93" s="31" t="inlineStr">
        <is>
          <t>Coastal HH</t>
        </is>
      </c>
      <c r="F93" s="31" t="inlineStr">
        <is>
          <t>Government</t>
        </is>
      </c>
      <c r="G93" s="31" t="inlineStr">
        <is>
          <t>Global</t>
        </is>
      </c>
      <c r="H93" s="31" t="inlineStr">
        <is>
          <t>Total</t>
        </is>
      </c>
    </row>
    <row r="94">
      <c r="A94" s="41" t="inlineStr">
        <is>
          <t>Fish provisioning</t>
        </is>
      </c>
      <c r="B94" s="42" t="inlineStr">
        <is>
          <t>Resource rent</t>
        </is>
      </c>
      <c r="C94" s="43" t="n">
        <v>210000</v>
      </c>
      <c r="D94" s="43" t="n">
        <v>0</v>
      </c>
      <c r="E94" s="43" t="n">
        <v>0</v>
      </c>
      <c r="F94" s="43" t="n">
        <v>0</v>
      </c>
      <c r="G94" s="43" t="n">
        <v>0</v>
      </c>
      <c r="H94" s="44" t="n">
        <v>210000</v>
      </c>
    </row>
    <row r="95">
      <c r="A95" s="41" t="inlineStr">
        <is>
          <t>Carbon sequestration</t>
        </is>
      </c>
      <c r="B95" s="42" t="inlineStr">
        <is>
          <t>SCC</t>
        </is>
      </c>
      <c r="C95" s="43" t="n">
        <v>0</v>
      </c>
      <c r="D95" s="43" t="n">
        <v>0</v>
      </c>
      <c r="E95" s="43" t="n">
        <v>0</v>
      </c>
      <c r="F95" s="43" t="n">
        <v>0</v>
      </c>
      <c r="G95" s="43" t="n">
        <v>119085</v>
      </c>
      <c r="H95" s="44" t="n">
        <v>119085</v>
      </c>
    </row>
    <row r="96">
      <c r="A96" s="41" t="inlineStr">
        <is>
          <t>Coastal protection</t>
        </is>
      </c>
      <c r="B96" s="42" t="inlineStr">
        <is>
          <t>Replacement</t>
        </is>
      </c>
      <c r="C96" s="43" t="n">
        <v>0</v>
      </c>
      <c r="D96" s="43" t="n">
        <v>0</v>
      </c>
      <c r="E96" s="43" t="n">
        <v>880000</v>
      </c>
      <c r="F96" s="43" t="n">
        <v>495000</v>
      </c>
      <c r="G96" s="43" t="n">
        <v>0</v>
      </c>
      <c r="H96" s="44" t="n">
        <v>1375000</v>
      </c>
    </row>
    <row r="97">
      <c r="A97" s="41" t="inlineStr">
        <is>
          <t>Nursery habitat</t>
        </is>
      </c>
      <c r="B97" s="42" t="inlineStr">
        <is>
          <t>Productivity</t>
        </is>
      </c>
      <c r="C97" s="43" t="n">
        <v>127750</v>
      </c>
      <c r="D97" s="43" t="n">
        <v>0</v>
      </c>
      <c r="E97" s="43" t="n">
        <v>0</v>
      </c>
      <c r="F97" s="43" t="n">
        <v>0</v>
      </c>
      <c r="G97" s="43" t="n">
        <v>0</v>
      </c>
      <c r="H97" s="44" t="n">
        <v>127750</v>
      </c>
    </row>
    <row r="98">
      <c r="A98" s="41" t="inlineStr">
        <is>
          <t>Recreation</t>
        </is>
      </c>
      <c r="B98" s="42" t="inlineStr">
        <is>
          <t>Expenditure</t>
        </is>
      </c>
      <c r="C98" s="43" t="n">
        <v>0</v>
      </c>
      <c r="D98" s="43" t="n">
        <v>1275000</v>
      </c>
      <c r="E98" s="43" t="n">
        <v>84000</v>
      </c>
      <c r="F98" s="43" t="n">
        <v>0</v>
      </c>
      <c r="G98" s="43" t="n">
        <v>0</v>
      </c>
      <c r="H98" s="44" t="n">
        <v>1359000</v>
      </c>
    </row>
    <row r="99">
      <c r="A99" s="41" t="inlineStr">
        <is>
          <t>Gleaning</t>
        </is>
      </c>
      <c r="B99" s="42" t="inlineStr">
        <is>
          <t>Equiv. wage</t>
        </is>
      </c>
      <c r="C99" s="43" t="n">
        <v>0</v>
      </c>
      <c r="D99" s="43" t="n">
        <v>0</v>
      </c>
      <c r="E99" s="43" t="n">
        <v>63000</v>
      </c>
      <c r="F99" s="43" t="n">
        <v>0</v>
      </c>
      <c r="G99" s="43" t="n">
        <v>0</v>
      </c>
      <c r="H99" s="44" t="n">
        <v>63000</v>
      </c>
    </row>
    <row r="100">
      <c r="A100" s="41" t="inlineStr">
        <is>
          <t>TOTAL</t>
        </is>
      </c>
      <c r="B100" s="37" t="n"/>
      <c r="C100" s="44" t="n">
        <v>337750</v>
      </c>
      <c r="D100" s="44" t="n">
        <v>1275000</v>
      </c>
      <c r="E100" s="44" t="n">
        <v>1027000</v>
      </c>
      <c r="F100" s="44" t="n">
        <v>495000</v>
      </c>
      <c r="G100" s="44" t="n">
        <v>119085</v>
      </c>
      <c r="H100" s="44" t="n">
        <v>3253835</v>
      </c>
    </row>
    <row r="102">
      <c r="A102" s="5" t="inlineStr">
        <is>
          <t>Discussion Answers:</t>
        </is>
      </c>
    </row>
    <row r="103">
      <c r="A103" s="45" t="inlineStr">
        <is>
          <t>Q1: Tourism and coastal households receive the most value. Recreation alone generates ~USD 1.36M/yr, and coastal protection adds ~USD 1.38M/yr. This suggests that maintaining healthy coastal ecosystems is economically important for both tourism and residential safety. Management should prioritize habitat integrity for these high-value services.</t>
        </is>
      </c>
    </row>
    <row r="105">
      <c r="A105" s="45" t="inlineStr">
        <is>
          <t>Q2: Yes. Fisheries and gleaning communities depend on ecosystem services for livelihoods but receive a smaller share of total monetary value. Carbon sequestration benefits the global community but is valued at only ~USD 119K. Equitable management should consider that subsistence users (gleaners) may be most vulnerable to ecosystem degradation even if their monetary share appears small.</t>
        </is>
      </c>
    </row>
  </sheetData>
  <mergeCells count="11">
    <mergeCell ref="B68:F68"/>
    <mergeCell ref="A92:H92"/>
    <mergeCell ref="B69:F69"/>
    <mergeCell ref="A83:H83"/>
    <mergeCell ref="A105:H105"/>
    <mergeCell ref="A73:H73"/>
    <mergeCell ref="A103:H103"/>
    <mergeCell ref="B71:F71"/>
    <mergeCell ref="A102:H102"/>
    <mergeCell ref="A75:H75"/>
    <mergeCell ref="B70:F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2026-03-26T02:58:33Z</dcterms:created>
  <dcterms:modified xmlns:dcterms="http://purl.org/dc/terms/" xmlns:xsi="http://www.w3.org/2001/XMLSchema-instance" xsi:type="dcterms:W3CDTF">2026-03-26T03:13:16Z</dcterms:modified>
</cp:coreProperties>
</file>