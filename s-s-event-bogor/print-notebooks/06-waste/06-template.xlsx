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ater Emissions" sheetId="2" state="visible" r:id="rId2"/>
    <sheet xmlns:r="http://schemas.openxmlformats.org/officeDocument/2006/relationships" name="Solid Waste" sheetId="3" state="visible" r:id="rId3"/>
    <sheet xmlns:r="http://schemas.openxmlformats.org/officeDocument/2006/relationships" name="Air Emissions" sheetId="4" state="visible" r:id="rId4"/>
    <sheet xmlns:r="http://schemas.openxmlformats.org/officeDocument/2006/relationships" name="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color rgb="0030302F"/>
      <sz val="10"/>
    </font>
    <font>
      <name val="Arial"/>
      <b val="1"/>
      <color rgb="000A5455"/>
      <sz val="10"/>
    </font>
    <font>
      <name val="Arial"/>
      <b val="1"/>
      <color rgb="000A5455"/>
      <sz val="12"/>
    </font>
    <font>
      <name val="Arial"/>
      <b val="1"/>
      <color rgb="00FFFFFF"/>
      <sz val="10"/>
    </font>
    <font>
      <name val="Arial"/>
      <b val="1"/>
      <color rgb="0030302F"/>
      <sz val="1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Ocean Waste and Emissions Account Template</t>
        </is>
      </c>
    </row>
    <row r="2">
      <c r="A2" s="2" t="inlineStr">
        <is>
          <t>SEEA-CF Physical Flow Accounts for the Marine Environment</t>
        </is>
      </c>
    </row>
    <row r="4">
      <c r="A4" s="3" t="inlineStr"/>
    </row>
    <row r="5">
      <c r="A5" s="3" t="inlineStr">
        <is>
          <t>This template covers three types of accounts tracking what the economy puts into the ocean:</t>
        </is>
      </c>
    </row>
    <row r="6">
      <c r="A6" s="3" t="inlineStr"/>
    </row>
    <row r="7">
      <c r="A7" s="3" t="inlineStr">
        <is>
          <t>1. Water Emissions Account: substances discharged to coastal waters and seas</t>
        </is>
      </c>
    </row>
    <row r="8">
      <c r="A8" s="3" t="inlineStr">
        <is>
          <t xml:space="preserve">   (nutrients, chemicals, sewage, heavy metals)</t>
        </is>
      </c>
    </row>
    <row r="9">
      <c r="A9" s="3" t="inlineStr"/>
    </row>
    <row r="10">
      <c r="A10" s="3" t="inlineStr">
        <is>
          <t>2. Solid Waste Account: waste entering the marine environment</t>
        </is>
      </c>
    </row>
    <row r="11">
      <c r="A11" s="3" t="inlineStr">
        <is>
          <t xml:space="preserve">   (plastics, fishing gear, ship waste, construction debris)</t>
        </is>
      </c>
    </row>
    <row r="12">
      <c r="A12" s="3" t="inlineStr"/>
    </row>
    <row r="13">
      <c r="A13" s="3" t="inlineStr">
        <is>
          <t>3. Air Emissions Account: greenhouse gases and pollutants from ocean industries</t>
        </is>
      </c>
    </row>
    <row r="14">
      <c r="A14" s="3" t="inlineStr">
        <is>
          <t xml:space="preserve">   (shipping, fishing fleets, offshore energy, port operations)</t>
        </is>
      </c>
    </row>
    <row r="15">
      <c r="A15" s="3" t="inlineStr"/>
    </row>
    <row r="16">
      <c r="A16" s="3" t="inlineStr">
        <is>
          <t>How to use:</t>
        </is>
      </c>
    </row>
    <row r="17">
      <c r="A17" s="3" t="inlineStr">
        <is>
          <t xml:space="preserve">  - Fill in yellow cells with your country's data</t>
        </is>
      </c>
    </row>
    <row r="18">
      <c r="A18" s="3" t="inlineStr">
        <is>
          <t xml:space="preserve">  - White cells with formulas calculate automatically</t>
        </is>
      </c>
    </row>
    <row r="19">
      <c r="A19" s="3" t="inlineStr">
        <is>
          <t xml:space="preserve">  - Each sheet has a 'Source' column to document where your data comes from</t>
        </is>
      </c>
    </row>
    <row r="20">
      <c r="A20" s="3" t="inlineStr">
        <is>
          <t xml:space="preserve">  - See the Glossary sheet for definitions of all terms</t>
        </is>
      </c>
    </row>
    <row r="21">
      <c r="A21" s="3" t="inlineStr"/>
    </row>
    <row r="22">
      <c r="A22" s="3" t="inlineStr">
        <is>
          <t>These accounts complement SEEA-EA (ecosystem health) and OESA (ocean economy).</t>
        </is>
      </c>
    </row>
    <row r="23">
      <c r="A23" s="3" t="inlineStr">
        <is>
          <t>Together they show: what the ocean provides (SEEA-EA), what economic activity it supports</t>
        </is>
      </c>
    </row>
    <row r="24">
      <c r="A24" s="3" t="inlineStr">
        <is>
          <t>(OESA), and what pressures the economy puts on it (these waste accounts).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24" customWidth="1" min="8" max="8"/>
  </cols>
  <sheetData>
    <row r="1">
      <c r="A1" s="1" t="inlineStr">
        <is>
          <t>Water Emissions Account: Substances Discharged to Sea</t>
        </is>
      </c>
    </row>
    <row r="2">
      <c r="A2" s="4" t="inlineStr">
        <is>
          <t>Country:</t>
        </is>
      </c>
      <c r="B2" s="5" t="n"/>
    </row>
    <row r="3">
      <c r="A3" s="4" t="inlineStr">
        <is>
          <t>Year:</t>
        </is>
      </c>
      <c r="B3" s="5" t="n"/>
    </row>
    <row r="5">
      <c r="A5" s="6" t="inlineStr">
        <is>
          <t>Supply: Generation of Water Emissions by Source (tonnes/year)</t>
        </is>
      </c>
    </row>
    <row r="6">
      <c r="A6" s="7" t="inlineStr">
        <is>
          <t>Source sector</t>
        </is>
      </c>
      <c r="B6" s="7" t="inlineStr">
        <is>
          <t>Nitrogen
(tonnes N/yr)</t>
        </is>
      </c>
      <c r="C6" s="7" t="inlineStr">
        <is>
          <t>Phosphorus
(tonnes P/yr)</t>
        </is>
      </c>
      <c r="D6" s="7" t="inlineStr">
        <is>
          <t>BOD
(tonnes/yr)</t>
        </is>
      </c>
      <c r="E6" s="7" t="inlineStr">
        <is>
          <t>Heavy metals
(tonnes/yr)</t>
        </is>
      </c>
      <c r="F6" s="7" t="inlineStr">
        <is>
          <t>Other
substances
(tonnes/yr)</t>
        </is>
      </c>
      <c r="G6" s="7" t="inlineStr">
        <is>
          <t>Total
(tonnes/yr)</t>
        </is>
      </c>
      <c r="H6" s="7" t="inlineStr">
        <is>
          <t>Data source</t>
        </is>
      </c>
    </row>
    <row r="7">
      <c r="A7" s="8" t="inlineStr">
        <is>
          <t>Agriculture (runoff)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Manufacturing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Mining and quarrying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Sewerage (treated effluent)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Sewerage (untreated discharge)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Households (direct)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Other industries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8" t="inlineStr">
        <is>
          <t>TOTAL</t>
        </is>
      </c>
      <c r="B14" s="10">
        <f>SUM(B7:B13)</f>
        <v/>
      </c>
      <c r="C14" s="10">
        <f>SUM(C7:C13)</f>
        <v/>
      </c>
      <c r="D14" s="10">
        <f>SUM(D7:D13)</f>
        <v/>
      </c>
      <c r="E14" s="10">
        <f>SUM(E7:E13)</f>
        <v/>
      </c>
      <c r="F14" s="10">
        <f>SUM(F7:F13)</f>
        <v/>
      </c>
      <c r="G14" s="10">
        <f>SUM(G7:G13)</f>
        <v/>
      </c>
      <c r="H14" s="9" t="n"/>
    </row>
    <row r="16">
      <c r="A16" s="6" t="inlineStr">
        <is>
          <t>Use: Destination of Emissions</t>
        </is>
      </c>
    </row>
    <row r="17">
      <c r="A17" s="7" t="inlineStr">
        <is>
          <t>Destination</t>
        </is>
      </c>
      <c r="B17" s="7" t="inlineStr">
        <is>
          <t>Nitrogen</t>
        </is>
      </c>
      <c r="C17" s="7" t="inlineStr">
        <is>
          <t>Phosphorus</t>
        </is>
      </c>
      <c r="D17" s="7" t="inlineStr">
        <is>
          <t>BOD</t>
        </is>
      </c>
      <c r="E17" s="7" t="inlineStr">
        <is>
          <t>Heavy metals</t>
        </is>
      </c>
      <c r="F17" s="7" t="inlineStr">
        <is>
          <t>Other</t>
        </is>
      </c>
      <c r="G17" s="7" t="inlineStr">
        <is>
          <t>Total</t>
        </is>
      </c>
    </row>
    <row r="18">
      <c r="A18" s="8" t="inlineStr">
        <is>
          <t>To sewerage treatment</t>
        </is>
      </c>
      <c r="B18" s="9" t="n"/>
      <c r="C18" s="9" t="n"/>
      <c r="D18" s="9" t="n"/>
      <c r="E18" s="9" t="n"/>
      <c r="F18" s="9" t="n"/>
      <c r="G18" s="9" t="n"/>
    </row>
    <row r="19">
      <c r="A19" s="8" t="inlineStr">
        <is>
          <t>Direct discharge to rivers</t>
        </is>
      </c>
      <c r="B19" s="9" t="n"/>
      <c r="C19" s="9" t="n"/>
      <c r="D19" s="9" t="n"/>
      <c r="E19" s="9" t="n"/>
      <c r="F19" s="9" t="n"/>
      <c r="G19" s="9" t="n"/>
    </row>
    <row r="20">
      <c r="A20" s="8" t="inlineStr">
        <is>
          <t>Direct discharge to sea</t>
        </is>
      </c>
      <c r="B20" s="9" t="n"/>
      <c r="C20" s="9" t="n"/>
      <c r="D20" s="9" t="n"/>
      <c r="E20" s="9" t="n"/>
      <c r="F20" s="9" t="n"/>
      <c r="G20" s="9" t="n"/>
    </row>
    <row r="21">
      <c r="A21" s="8" t="inlineStr">
        <is>
          <t>Non-point source to sea</t>
        </is>
      </c>
      <c r="B21" s="9" t="n"/>
      <c r="C21" s="9" t="n"/>
      <c r="D21" s="9" t="n"/>
      <c r="E21" s="9" t="n"/>
      <c r="F21" s="9" t="n"/>
      <c r="G21" s="9" t="n"/>
    </row>
    <row r="22">
      <c r="A22" s="8" t="inlineStr">
        <is>
          <t>TOTAL</t>
        </is>
      </c>
      <c r="B22" s="11">
        <f>SUM(B18:B21)</f>
        <v/>
      </c>
      <c r="C22" s="11">
        <f>SUM(C18:C21)</f>
        <v/>
      </c>
      <c r="D22" s="11">
        <f>SUM(D18:D21)</f>
        <v/>
      </c>
      <c r="E22" s="11">
        <f>SUM(E18:E21)</f>
        <v/>
      </c>
      <c r="F22" s="11">
        <f>SUM(F18:F21)</f>
        <v/>
      </c>
      <c r="G22" s="11">
        <f>SUM(G18:G21)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12" customWidth="1" min="5" max="5"/>
    <col width="24" customWidth="1" min="6" max="6"/>
  </cols>
  <sheetData>
    <row r="1">
      <c r="A1" s="1" t="inlineStr">
        <is>
          <t>Solid Waste Account: Waste Entering the Marine Environment</t>
        </is>
      </c>
    </row>
    <row r="2">
      <c r="A2" s="4" t="inlineStr">
        <is>
          <t>Country:</t>
        </is>
      </c>
      <c r="B2" s="5" t="n"/>
    </row>
    <row r="3">
      <c r="A3" s="4" t="inlineStr">
        <is>
          <t>Year:</t>
        </is>
      </c>
      <c r="B3" s="5" t="n"/>
    </row>
    <row r="5">
      <c r="A5" s="6" t="inlineStr">
        <is>
          <t>Solid Waste to Marine Environment (tonnes/year)</t>
        </is>
      </c>
    </row>
    <row r="6">
      <c r="A6" s="7" t="inlineStr">
        <is>
          <t>Waste type</t>
        </is>
      </c>
      <c r="B6" s="7" t="inlineStr">
        <is>
          <t>Land-based
sources
(tonnes/yr)</t>
        </is>
      </c>
      <c r="C6" s="7" t="inlineStr">
        <is>
          <t>Sea-based
sources
(tonnes/yr)</t>
        </is>
      </c>
      <c r="D6" s="7" t="inlineStr">
        <is>
          <t>Total
(tonnes/yr)</t>
        </is>
      </c>
      <c r="E6" s="7" t="inlineStr">
        <is>
          <t>Percentage
of total</t>
        </is>
      </c>
      <c r="F6" s="7" t="inlineStr">
        <is>
          <t>Data source</t>
        </is>
      </c>
    </row>
    <row r="7">
      <c r="A7" s="8" t="inlineStr">
        <is>
          <t>Plastics (macroplastic)</t>
        </is>
      </c>
      <c r="B7" s="9" t="n"/>
      <c r="C7" s="9" t="n"/>
      <c r="D7" s="9">
        <f>B7+C7</f>
        <v/>
      </c>
      <c r="E7" s="12">
        <f>IF(D$15=0,"",D7/D$15)</f>
        <v/>
      </c>
      <c r="F7" s="9" t="n"/>
    </row>
    <row r="8">
      <c r="A8" s="8" t="inlineStr">
        <is>
          <t>Plastics (microplastic)</t>
        </is>
      </c>
      <c r="B8" s="9" t="n"/>
      <c r="C8" s="9" t="n"/>
      <c r="D8" s="9">
        <f>B8+C8</f>
        <v/>
      </c>
      <c r="E8" s="12">
        <f>IF(D$15=0,"",D8/D$15)</f>
        <v/>
      </c>
      <c r="F8" s="9" t="n"/>
    </row>
    <row r="9">
      <c r="A9" s="8" t="inlineStr">
        <is>
          <t>Fishing gear (ghost nets, lines)</t>
        </is>
      </c>
      <c r="B9" s="9" t="n"/>
      <c r="C9" s="9" t="n"/>
      <c r="D9" s="9">
        <f>B9+C9</f>
        <v/>
      </c>
      <c r="E9" s="12">
        <f>IF(D$15=0,"",D9/D$15)</f>
        <v/>
      </c>
      <c r="F9" s="9" t="n"/>
    </row>
    <row r="10">
      <c r="A10" s="8" t="inlineStr">
        <is>
          <t>Ship-generated waste</t>
        </is>
      </c>
      <c r="B10" s="9" t="n"/>
      <c r="C10" s="9" t="n"/>
      <c r="D10" s="9">
        <f>B10+C10</f>
        <v/>
      </c>
      <c r="E10" s="12">
        <f>IF(D$15=0,"",D10/D$15)</f>
        <v/>
      </c>
      <c r="F10" s="9" t="n"/>
    </row>
    <row r="11">
      <c r="A11" s="8" t="inlineStr">
        <is>
          <t>Sewage sludge</t>
        </is>
      </c>
      <c r="B11" s="9" t="n"/>
      <c r="C11" s="9" t="n"/>
      <c r="D11" s="9">
        <f>B11+C11</f>
        <v/>
      </c>
      <c r="E11" s="12">
        <f>IF(D$15=0,"",D11/D$15)</f>
        <v/>
      </c>
      <c r="F11" s="9" t="n"/>
    </row>
    <row r="12">
      <c r="A12" s="8" t="inlineStr">
        <is>
          <t>Dredging material</t>
        </is>
      </c>
      <c r="B12" s="9" t="n"/>
      <c r="C12" s="9" t="n"/>
      <c r="D12" s="9">
        <f>B12+C12</f>
        <v/>
      </c>
      <c r="E12" s="12">
        <f>IF(D$15=0,"",D12/D$15)</f>
        <v/>
      </c>
      <c r="F12" s="9" t="n"/>
    </row>
    <row r="13">
      <c r="A13" s="8" t="inlineStr">
        <is>
          <t>Construction debris</t>
        </is>
      </c>
      <c r="B13" s="9" t="n"/>
      <c r="C13" s="9" t="n"/>
      <c r="D13" s="9">
        <f>B13+C13</f>
        <v/>
      </c>
      <c r="E13" s="12">
        <f>IF(D$15=0,"",D13/D$15)</f>
        <v/>
      </c>
      <c r="F13" s="9" t="n"/>
    </row>
    <row r="14">
      <c r="A14" s="8" t="inlineStr">
        <is>
          <t>Other solid waste</t>
        </is>
      </c>
      <c r="B14" s="9" t="n"/>
      <c r="C14" s="9" t="n"/>
      <c r="D14" s="9">
        <f>B14+C14</f>
        <v/>
      </c>
      <c r="E14" s="12">
        <f>IF(D$15=0,"",D14/D$15)</f>
        <v/>
      </c>
      <c r="F14" s="9" t="n"/>
    </row>
    <row r="15">
      <c r="A15" s="8" t="inlineStr">
        <is>
          <t>TOTAL</t>
        </is>
      </c>
      <c r="B15" s="11">
        <f>SUM(B7:B14)</f>
        <v/>
      </c>
      <c r="C15" s="11">
        <f>SUM(C7:C14)</f>
        <v/>
      </c>
      <c r="D15" s="11">
        <f>SUM(D7:D14)</f>
        <v/>
      </c>
      <c r="E15" s="12">
        <f>IF(D$15=0,"",D15/D$15)</f>
        <v/>
      </c>
      <c r="F15" s="9" t="n"/>
    </row>
    <row r="17">
      <c r="A17" s="6" t="inlineStr">
        <is>
          <t>Land-Based Sources Estimation (Jambeck method)</t>
        </is>
      </c>
    </row>
    <row r="18">
      <c r="A18" s="13" t="inlineStr">
        <is>
          <t>National solid waste generated (tonnes/yr)</t>
        </is>
      </c>
      <c r="B18" s="9" t="n"/>
    </row>
    <row r="19">
      <c r="A19" s="13" t="inlineStr">
        <is>
          <t>Mismanaged waste rate (%)</t>
        </is>
      </c>
      <c r="B19" s="9" t="n"/>
    </row>
    <row r="20">
      <c r="A20" s="13" t="inlineStr">
        <is>
          <t>Coastal population share (%)</t>
        </is>
      </c>
      <c r="B20" s="9" t="n"/>
    </row>
    <row r="21">
      <c r="A21" s="13" t="inlineStr">
        <is>
          <t>Marine leakage rate (%)</t>
        </is>
      </c>
      <c r="B21" s="9" t="n"/>
    </row>
    <row r="22">
      <c r="A22" s="13" t="inlineStr">
        <is>
          <t>Estimated land-based marine waste (tonnes/yr)</t>
        </is>
      </c>
      <c r="B22" s="11">
        <f>B18*B19*B20*B21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9C7B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8" customWidth="1" min="4" max="4"/>
    <col width="14" customWidth="1" min="5" max="5"/>
    <col width="14" customWidth="1" min="6" max="6"/>
    <col width="24" customWidth="1" min="7" max="7"/>
  </cols>
  <sheetData>
    <row r="1">
      <c r="A1" s="1" t="inlineStr">
        <is>
          <t>Air Emissions Account: Ocean Industry Emissions</t>
        </is>
      </c>
    </row>
    <row r="3">
      <c r="A3" s="7" t="inlineStr">
        <is>
          <t>Ocean sector</t>
        </is>
      </c>
      <c r="B3" s="7" t="inlineStr">
        <is>
          <t>Fuel consumption
(tonnes/yr)</t>
        </is>
      </c>
      <c r="C3" s="7" t="inlineStr">
        <is>
          <t>CO2 emission
factor</t>
        </is>
      </c>
      <c r="D3" s="7" t="inlineStr">
        <is>
          <t>CO2 emissions
(tonnes CO2/yr)</t>
        </is>
      </c>
      <c r="E3" s="7" t="inlineStr">
        <is>
          <t>SO2 emissions
(tonnes/yr)</t>
        </is>
      </c>
      <c r="F3" s="7" t="inlineStr">
        <is>
          <t>NOx emissions
(tonnes/yr)</t>
        </is>
      </c>
      <c r="G3" s="7" t="inlineStr">
        <is>
          <t>Data source</t>
        </is>
      </c>
    </row>
    <row r="4">
      <c r="A4" s="8" t="inlineStr">
        <is>
          <t>Maritime shipping (international)</t>
        </is>
      </c>
      <c r="B4" s="9" t="n"/>
      <c r="C4" s="11" t="n">
        <v>3.2</v>
      </c>
      <c r="D4" s="11">
        <f>B4*C4</f>
        <v/>
      </c>
      <c r="E4" s="9" t="n"/>
      <c r="F4" s="9" t="n"/>
      <c r="G4" s="9" t="n"/>
    </row>
    <row r="5">
      <c r="A5" s="8" t="inlineStr">
        <is>
          <t>Maritime shipping (domestic)</t>
        </is>
      </c>
      <c r="B5" s="9" t="n"/>
      <c r="C5" s="11" t="n">
        <v>3.2</v>
      </c>
      <c r="D5" s="11">
        <f>B5*C5</f>
        <v/>
      </c>
      <c r="E5" s="9" t="n"/>
      <c r="F5" s="9" t="n"/>
      <c r="G5" s="9" t="n"/>
    </row>
    <row r="6">
      <c r="A6" s="8" t="inlineStr">
        <is>
          <t>Fishing fleet</t>
        </is>
      </c>
      <c r="B6" s="9" t="n"/>
      <c r="C6" s="11" t="n">
        <v>3.2</v>
      </c>
      <c r="D6" s="11">
        <f>B6*C6</f>
        <v/>
      </c>
      <c r="E6" s="9" t="n"/>
      <c r="F6" s="9" t="n"/>
      <c r="G6" s="9" t="n"/>
    </row>
    <row r="7">
      <c r="A7" s="8" t="inlineStr">
        <is>
          <t>Offshore oil and gas</t>
        </is>
      </c>
      <c r="B7" s="9" t="n"/>
      <c r="C7" s="11" t="n">
        <v>3.2</v>
      </c>
      <c r="D7" s="11">
        <f>B7*C7</f>
        <v/>
      </c>
      <c r="E7" s="9" t="n"/>
      <c r="F7" s="9" t="n"/>
      <c r="G7" s="9" t="n"/>
    </row>
    <row r="8">
      <c r="A8" s="8" t="inlineStr">
        <is>
          <t>Port operations</t>
        </is>
      </c>
      <c r="B8" s="9" t="n"/>
      <c r="C8" s="11" t="n">
        <v>3.2</v>
      </c>
      <c r="D8" s="11">
        <f>B8*C8</f>
        <v/>
      </c>
      <c r="E8" s="9" t="n"/>
      <c r="F8" s="9" t="n"/>
      <c r="G8" s="9" t="n"/>
    </row>
    <row r="9">
      <c r="A9" s="8" t="inlineStr">
        <is>
          <t>Marine construction</t>
        </is>
      </c>
      <c r="B9" s="9" t="n"/>
      <c r="C9" s="11" t="n">
        <v>3.2</v>
      </c>
      <c r="D9" s="11">
        <f>B9*C9</f>
        <v/>
      </c>
      <c r="E9" s="9" t="n"/>
      <c r="F9" s="9" t="n"/>
      <c r="G9" s="9" t="n"/>
    </row>
    <row r="10">
      <c r="A10" s="8" t="inlineStr">
        <is>
          <t>Other ocean industries</t>
        </is>
      </c>
      <c r="B10" s="9" t="n"/>
      <c r="C10" s="11" t="n">
        <v>3.2</v>
      </c>
      <c r="D10" s="11">
        <f>B10*C10</f>
        <v/>
      </c>
      <c r="E10" s="9" t="n"/>
      <c r="F10" s="9" t="n"/>
      <c r="G10" s="9" t="n"/>
    </row>
    <row r="11">
      <c r="A11" s="8" t="inlineStr">
        <is>
          <t>TOTAL</t>
        </is>
      </c>
      <c r="B11" s="11">
        <f>SUM(B4:B10)</f>
        <v/>
      </c>
      <c r="C11" s="11">
        <f>SUM(C4:C10)</f>
        <v/>
      </c>
      <c r="D11" s="11">
        <f>SUM(D4:D10)</f>
        <v/>
      </c>
      <c r="E11" s="11">
        <f>SUM(E4:E10)</f>
        <v/>
      </c>
      <c r="F11" s="11">
        <f>SUM(F4:F10)</f>
        <v/>
      </c>
      <c r="G11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9C7B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20" customWidth="1" min="4" max="4"/>
  </cols>
  <sheetData>
    <row r="1">
      <c r="A1" s="1" t="inlineStr">
        <is>
          <t>Glossary</t>
        </is>
      </c>
    </row>
    <row r="3">
      <c r="A3" s="7" t="inlineStr">
        <is>
          <t>Term</t>
        </is>
      </c>
      <c r="B3" s="7" t="inlineStr">
        <is>
          <t>Full Name</t>
        </is>
      </c>
      <c r="C3" s="7" t="inlineStr">
        <is>
          <t>Definition</t>
        </is>
      </c>
      <c r="D3" s="7" t="inlineStr">
        <is>
          <t>Unit</t>
        </is>
      </c>
    </row>
    <row r="4">
      <c r="A4" s="13" t="inlineStr">
        <is>
          <t>BOD</t>
        </is>
      </c>
      <c r="B4" s="14" t="inlineStr">
        <is>
          <t>Biochemical Oxygen Demand</t>
        </is>
      </c>
      <c r="C4" s="15" t="inlineStr">
        <is>
          <t>Amount of oxygen consumed by microorganisms to decompose organic matter in water. Higher BOD indicates more organic pollution.</t>
        </is>
      </c>
      <c r="D4" s="14" t="inlineStr">
        <is>
          <t>mg/L or tonnes/yr</t>
        </is>
      </c>
    </row>
    <row r="5">
      <c r="A5" s="13" t="inlineStr">
        <is>
          <t>Nitrogen (N)</t>
        </is>
      </c>
      <c r="B5" s="14" t="inlineStr">
        <is>
          <t>Total nitrogen load</t>
        </is>
      </c>
      <c r="C5" s="15" t="inlineStr">
        <is>
          <t>Nitrogen from fertilizers, sewage, and industrial discharge that causes eutrophication (algal blooms) in coastal waters.</t>
        </is>
      </c>
      <c r="D5" s="14" t="inlineStr">
        <is>
          <t>tonnes N/yr</t>
        </is>
      </c>
    </row>
    <row r="6">
      <c r="A6" s="13" t="inlineStr">
        <is>
          <t>Phosphorus (P)</t>
        </is>
      </c>
      <c r="B6" s="14" t="inlineStr">
        <is>
          <t>Total phosphorus load</t>
        </is>
      </c>
      <c r="C6" s="15" t="inlineStr">
        <is>
          <t>Phosphorus from detergents, fertilizers, and sewage that causes eutrophication.</t>
        </is>
      </c>
      <c r="D6" s="14" t="inlineStr">
        <is>
          <t>tonnes P/yr</t>
        </is>
      </c>
    </row>
    <row r="7">
      <c r="A7" s="13" t="inlineStr">
        <is>
          <t>Heavy metals</t>
        </is>
      </c>
      <c r="B7" s="14" t="inlineStr">
        <is>
          <t>Toxic metal pollutants</t>
        </is>
      </c>
      <c r="C7" s="15" t="inlineStr">
        <is>
          <t>Mercury, lead, cadmium, arsenic, and other metals from industrial discharge, mining, and fuel combustion.</t>
        </is>
      </c>
      <c r="D7" s="14" t="inlineStr">
        <is>
          <t>tonnes/yr</t>
        </is>
      </c>
    </row>
    <row r="8">
      <c r="A8" s="13" t="inlineStr">
        <is>
          <t>Mismanaged waste</t>
        </is>
      </c>
      <c r="B8" s="14" t="inlineStr">
        <is>
          <t>Waste not properly collected or disposed</t>
        </is>
      </c>
      <c r="C8" s="15" t="inlineStr">
        <is>
          <t>Waste that is dumped, littered, or sent to uncontrolled disposal sites. Calculated as a percentage of total waste generated.</t>
        </is>
      </c>
      <c r="D8" s="14" t="inlineStr">
        <is>
          <t>% or tonnes/yr</t>
        </is>
      </c>
    </row>
    <row r="9">
      <c r="A9" s="13" t="inlineStr">
        <is>
          <t>Marine leakage</t>
        </is>
      </c>
      <c r="B9" s="14" t="inlineStr">
        <is>
          <t>Waste entering the ocean</t>
        </is>
      </c>
      <c r="C9" s="15" t="inlineStr">
        <is>
          <t>The fraction of mismanaged coastal waste that reaches the marine environment through rivers, wind, tides, or direct dumping.</t>
        </is>
      </c>
      <c r="D9" s="14" t="inlineStr">
        <is>
          <t>% or tonnes/yr</t>
        </is>
      </c>
    </row>
    <row r="10">
      <c r="A10" s="13" t="inlineStr">
        <is>
          <t>Ghost gear</t>
        </is>
      </c>
      <c r="B10" s="14" t="inlineStr">
        <is>
          <t>Abandoned fishing equipment</t>
        </is>
      </c>
      <c r="C10" s="15" t="inlineStr">
        <is>
          <t>Lost, abandoned, or discarded fishing nets, lines, and traps that continue to catch marine life.</t>
        </is>
      </c>
      <c r="D10" s="14" t="inlineStr">
        <is>
          <t>tonnes/yr</t>
        </is>
      </c>
    </row>
    <row r="11">
      <c r="A11" s="13" t="inlineStr">
        <is>
          <t>CO2e</t>
        </is>
      </c>
      <c r="B11" s="14" t="inlineStr">
        <is>
          <t>CO2 equivalent</t>
        </is>
      </c>
      <c r="C11" s="15" t="inlineStr">
        <is>
          <t>A standard unit for measuring greenhouse gases. Converts CH4, N2O, etc. to their warming equivalent in CO2.</t>
        </is>
      </c>
      <c r="D11" s="14" t="inlineStr">
        <is>
          <t>tonnes CO2e</t>
        </is>
      </c>
    </row>
    <row r="12">
      <c r="A12" s="13" t="inlineStr">
        <is>
          <t>Emission factor</t>
        </is>
      </c>
      <c r="B12" s="14" t="inlineStr">
        <is>
          <t>Emissions per unit fuel</t>
        </is>
      </c>
      <c r="C12" s="15" t="inlineStr">
        <is>
          <t>Amount of pollutant released per unit of fuel consumed. For marine fuel: approximately 3.2 tonnes CO2 per tonne of fuel.</t>
        </is>
      </c>
      <c r="D12" s="14" t="inlineStr">
        <is>
          <t>tonnes CO2 per tonne fuel</t>
        </is>
      </c>
    </row>
    <row r="13">
      <c r="A13" s="13" t="inlineStr">
        <is>
          <t>Point source</t>
        </is>
      </c>
      <c r="B13" s="14" t="inlineStr">
        <is>
          <t>Identifiable discharge location</t>
        </is>
      </c>
      <c r="C13" s="15" t="inlineStr">
        <is>
          <t>Pollution from a specific, identifiable outlet: factory pipe, sewage plant, ship discharge point.</t>
        </is>
      </c>
      <c r="D13" s="14" t="inlineStr"/>
    </row>
    <row r="14">
      <c r="A14" s="13" t="inlineStr">
        <is>
          <t>Non-point source</t>
        </is>
      </c>
      <c r="B14" s="14" t="inlineStr">
        <is>
          <t>Diffuse pollution</t>
        </is>
      </c>
      <c r="C14" s="15" t="inlineStr">
        <is>
          <t>Pollution without a single origin: agricultural runoff, urban stormwater, atmospheric deposition.</t>
        </is>
      </c>
      <c r="D14" s="14" t="inlineStr"/>
    </row>
    <row r="15">
      <c r="A15" s="13" t="inlineStr">
        <is>
          <t>MARPOL</t>
        </is>
      </c>
      <c r="B15" s="14" t="inlineStr">
        <is>
          <t>International Convention for the Prevention of Pollution from Ships</t>
        </is>
      </c>
      <c r="C15" s="15" t="inlineStr">
        <is>
          <t>IMO convention regulating ship-generated waste, oil, chemicals, sewage, and garbage discharge at sea.</t>
        </is>
      </c>
      <c r="D1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2026-03-26T01:05:43Z</dcterms:created>
  <dcterms:modified xmlns:dcterms="http://purl.org/dc/terms/" xmlns:xsi="http://www.w3.org/2001/XMLSchema-instance" xsi:type="dcterms:W3CDTF">2026-03-26T01:05:43Z</dcterms:modified>
</cp:coreProperties>
</file>