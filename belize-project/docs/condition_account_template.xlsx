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ference_Levels" sheetId="2" state="visible" r:id="rId2"/>
    <sheet xmlns:r="http://schemas.openxmlformats.org/officeDocument/2006/relationships" name="Site_Data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Condition_Ac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b val="1"/>
      <color rgb="0030302F"/>
      <sz val="11"/>
    </font>
  </fonts>
  <fills count="5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FFF2CC"/>
        <bgColor rgb="00FFF2CC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Condition Account Template</t>
        </is>
      </c>
    </row>
    <row r="2">
      <c r="A2" t="inlineStr"/>
    </row>
    <row r="3">
      <c r="A3" s="2" t="inlineStr">
        <is>
          <t>This workbook calculates SEEA EA coral reef condition accounts from</t>
        </is>
      </c>
    </row>
    <row r="4">
      <c r="A4" s="2" t="inlineStr">
        <is>
          <t>site-level indicator values. It has four working sheets:</t>
        </is>
      </c>
    </row>
    <row r="5">
      <c r="A5" t="inlineStr"/>
    </row>
    <row r="6">
      <c r="A6" s="2" t="inlineStr">
        <is>
          <t xml:space="preserve">  1. Reference_Levels -- edit reference level values for each indicator</t>
        </is>
      </c>
    </row>
    <row r="7">
      <c r="A7" s="2" t="inlineStr">
        <is>
          <t xml:space="preserve">  2. Site_Data -- paste your site-level indicator values here</t>
        </is>
      </c>
    </row>
    <row r="8">
      <c r="A8" s="2" t="inlineStr">
        <is>
          <t xml:space="preserve">  3. Calculations -- intermediate statistics (do not edit)</t>
        </is>
      </c>
    </row>
    <row r="9">
      <c r="A9" s="2" t="inlineStr">
        <is>
          <t xml:space="preserve">  4. Condition_Account -- the final account table with formulas</t>
        </is>
      </c>
    </row>
    <row r="10">
      <c r="A10" t="inlineStr"/>
    </row>
    <row r="11">
      <c r="A11" s="3" t="inlineStr">
        <is>
          <t>HOW TO USE</t>
        </is>
      </c>
    </row>
    <row r="12">
      <c r="A12" t="inlineStr"/>
    </row>
    <row r="13">
      <c r="A13" s="2" t="inlineStr">
        <is>
          <t>Step 1. Open the Site_Data sheet. Delete the example data rows (keep the</t>
        </is>
      </c>
    </row>
    <row r="14">
      <c r="A14" s="2" t="inlineStr">
        <is>
          <t>header row). Paste your site-level indicator values. The columns must be:</t>
        </is>
      </c>
    </row>
    <row r="15">
      <c r="A15" s="2" t="inlineStr">
        <is>
          <t>Year, Site, Geographic_Unit, Live_Coral_Cover, Fleshy_Macroalgae_Cover,</t>
        </is>
      </c>
    </row>
    <row r="16">
      <c r="A16" s="2" t="inlineStr">
        <is>
          <t>Recruit_Density, Coral_Diversity_H, Reef_Relief.</t>
        </is>
      </c>
    </row>
    <row r="17">
      <c r="A17" s="2" t="inlineStr">
        <is>
          <t>Leave cells blank where data is missing. Do not enter zero for missing data.</t>
        </is>
      </c>
    </row>
    <row r="18">
      <c r="A18" s="2" t="inlineStr">
        <is>
          <t>The Year column must contain numbers (2023, 2025), not text.</t>
        </is>
      </c>
    </row>
    <row r="19">
      <c r="A19" t="inlineStr"/>
    </row>
    <row r="20">
      <c r="A20" s="2" t="inlineStr">
        <is>
          <t>Step 2. Open the Condition_Account sheet. In the yellow cells at the top,</t>
        </is>
      </c>
    </row>
    <row r="21">
      <c r="A21" s="2" t="inlineStr">
        <is>
          <t>enter the opening year, closing year, and geographic unit name. The name</t>
        </is>
      </c>
    </row>
    <row r="22">
      <c r="A22" s="2" t="inlineStr">
        <is>
          <t>must match exactly what you entered in the Geographic_Unit column of Site_Data.</t>
        </is>
      </c>
    </row>
    <row r="23">
      <c r="A23" t="inlineStr"/>
    </row>
    <row r="24">
      <c r="A24" s="2" t="inlineStr">
        <is>
          <t>Step 3. The condition account table below updates automatically.</t>
        </is>
      </c>
    </row>
    <row r="25">
      <c r="A25" t="inlineStr"/>
    </row>
    <row r="26">
      <c r="A26" s="2" t="inlineStr">
        <is>
          <t>Step 4. To change reference levels, edit them on the Reference_Levels sheet.</t>
        </is>
      </c>
    </row>
    <row r="27">
      <c r="A27" t="inlineStr"/>
    </row>
    <row r="28">
      <c r="A28" s="2" t="inlineStr">
        <is>
          <t>Step 5. To produce accounts for a different area, change the geographic unit</t>
        </is>
      </c>
    </row>
    <row r="29">
      <c r="A29" s="2" t="inlineStr">
        <is>
          <t>name in cell B4 of the Condition_Account sheet.</t>
        </is>
      </c>
    </row>
    <row r="30">
      <c r="A30" t="inlineStr"/>
    </row>
    <row r="31">
      <c r="A31" s="3" t="inlineStr">
        <is>
          <t>NOTES</t>
        </is>
      </c>
    </row>
    <row r="32">
      <c r="A32" t="inlineStr"/>
    </row>
    <row r="33">
      <c r="A33" s="2" t="inlineStr">
        <is>
          <t>Yellow cells are input cells you can edit. White cells contain formulas.</t>
        </is>
      </c>
    </row>
    <row r="34">
      <c r="A34" s="2" t="inlineStr">
        <is>
          <t>The example data on Site_Data is from the Ambergris Caye pilot. Means match</t>
        </is>
      </c>
    </row>
    <row r="35">
      <c r="A35" s="2" t="inlineStr">
        <is>
          <t>the actual condition account output; individual site values are approximations.</t>
        </is>
      </c>
    </row>
    <row r="36">
      <c r="A36" s="2" t="inlineStr">
        <is>
          <t>Standard errors may differ slightly from the R script output for this reason.</t>
        </is>
      </c>
    </row>
    <row r="37">
      <c r="A37" s="2" t="inlineStr">
        <is>
          <t>Replace the example data with your own data before use.</t>
        </is>
      </c>
    </row>
    <row r="38">
      <c r="A38" t="inlineStr"/>
    </row>
    <row r="39">
      <c r="A39" s="2" t="inlineStr">
        <is>
          <t>Requires Excel 2016 or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</cols>
  <sheetData>
    <row r="1">
      <c r="A1" s="4" t="inlineStr">
        <is>
          <t>Indicator</t>
        </is>
      </c>
      <c r="B1" s="4" t="inlineStr">
        <is>
          <t>Reference Level</t>
        </is>
      </c>
      <c r="C1" s="4" t="inlineStr">
        <is>
          <t>Unit</t>
        </is>
      </c>
      <c r="D1" s="4" t="inlineStr">
        <is>
          <t>Direction</t>
        </is>
      </c>
    </row>
    <row r="2">
      <c r="A2" s="5" t="inlineStr">
        <is>
          <t>Live Coral Cover</t>
        </is>
      </c>
      <c r="B2" s="6" t="n">
        <v>50</v>
      </c>
      <c r="C2" s="5" t="inlineStr">
        <is>
          <t>%</t>
        </is>
      </c>
      <c r="D2" s="5" t="inlineStr">
        <is>
          <t>Higher is better</t>
        </is>
      </c>
    </row>
    <row r="3">
      <c r="A3" s="5" t="inlineStr">
        <is>
          <t>Fleshy Macroalgae Cover</t>
        </is>
      </c>
      <c r="B3" s="6" t="n">
        <v>50</v>
      </c>
      <c r="C3" s="5" t="inlineStr">
        <is>
          <t>%</t>
        </is>
      </c>
      <c r="D3" s="5" t="inlineStr">
        <is>
          <t>Higher is worse</t>
        </is>
      </c>
    </row>
    <row r="4">
      <c r="A4" s="5" t="inlineStr">
        <is>
          <t>Coral Recruit Density</t>
        </is>
      </c>
      <c r="B4" s="6" t="n">
        <v>15</v>
      </c>
      <c r="C4" s="5" t="inlineStr">
        <is>
          <t>per m2</t>
        </is>
      </c>
      <c r="D4" s="5" t="inlineStr">
        <is>
          <t>Higher is better</t>
        </is>
      </c>
    </row>
    <row r="5">
      <c r="A5" s="5" t="inlineStr">
        <is>
          <t>Coral Diversity (Shannon H')</t>
        </is>
      </c>
      <c r="B5" s="6" t="n">
        <v>2</v>
      </c>
      <c r="C5" s="5" t="inlineStr">
        <is>
          <t>index</t>
        </is>
      </c>
      <c r="D5" s="5" t="inlineStr">
        <is>
          <t>Higher is better</t>
        </is>
      </c>
    </row>
    <row r="6">
      <c r="A6" s="5" t="inlineStr">
        <is>
          <t>Reef Relief</t>
        </is>
      </c>
      <c r="B6" s="6" t="n">
        <v>150</v>
      </c>
      <c r="C6" s="5" t="inlineStr">
        <is>
          <t>cm</t>
        </is>
      </c>
      <c r="D6" s="5" t="inlineStr">
        <is>
          <t>Higher is 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4" t="inlineStr">
        <is>
          <t>Year</t>
        </is>
      </c>
      <c r="B1" s="4" t="inlineStr">
        <is>
          <t>Site</t>
        </is>
      </c>
      <c r="C1" s="4" t="inlineStr">
        <is>
          <t>Geographic_Unit</t>
        </is>
      </c>
      <c r="D1" s="4" t="inlineStr">
        <is>
          <t>Live_Coral_Cover</t>
        </is>
      </c>
      <c r="E1" s="4" t="inlineStr">
        <is>
          <t>Fleshy_Macroalgae_Cover</t>
        </is>
      </c>
      <c r="F1" s="4" t="inlineStr">
        <is>
          <t>Recruit_Density</t>
        </is>
      </c>
      <c r="G1" s="4" t="inlineStr">
        <is>
          <t>Coral_Diversity_H</t>
        </is>
      </c>
      <c r="H1" s="4" t="inlineStr">
        <is>
          <t>Reef_Relief</t>
        </is>
      </c>
    </row>
    <row r="2">
      <c r="A2" s="5" t="n">
        <v>2023</v>
      </c>
      <c r="B2" s="5" t="inlineStr">
        <is>
          <t>BZHCCD01</t>
        </is>
      </c>
      <c r="C2" s="5" t="inlineStr">
        <is>
          <t>Ambergris Caye (Pilot)</t>
        </is>
      </c>
      <c r="D2" s="7" t="n">
        <v>8.550000000000001</v>
      </c>
      <c r="E2" s="7" t="n">
        <v>28.63</v>
      </c>
      <c r="F2" s="7" t="n">
        <v>0.32</v>
      </c>
      <c r="H2" s="7" t="n">
        <v>45.5</v>
      </c>
    </row>
    <row r="3">
      <c r="A3" s="5" t="n">
        <v>2023</v>
      </c>
      <c r="B3" s="5" t="inlineStr">
        <is>
          <t>BZHCCD02</t>
        </is>
      </c>
      <c r="C3" s="5" t="inlineStr">
        <is>
          <t>Ambergris Caye (Pilot)</t>
        </is>
      </c>
      <c r="D3" s="7" t="n">
        <v>6.17</v>
      </c>
      <c r="E3" s="7" t="n">
        <v>32.5</v>
      </c>
      <c r="F3" s="7" t="n">
        <v>0.2</v>
      </c>
      <c r="H3" s="7" t="n">
        <v>38</v>
      </c>
    </row>
    <row r="4">
      <c r="A4" s="5" t="n">
        <v>2023</v>
      </c>
      <c r="B4" s="5" t="inlineStr">
        <is>
          <t>BZ1231</t>
        </is>
      </c>
      <c r="C4" s="5" t="inlineStr">
        <is>
          <t>Ambergris Caye (Pilot)</t>
        </is>
      </c>
      <c r="D4" s="7" t="n">
        <v>11.33</v>
      </c>
      <c r="E4" s="7" t="n">
        <v>30.1</v>
      </c>
      <c r="F4" s="7" t="n">
        <v>0.28</v>
      </c>
      <c r="H4" s="7" t="n">
        <v>62.3</v>
      </c>
    </row>
    <row r="5">
      <c r="A5" s="5" t="n">
        <v>2023</v>
      </c>
      <c r="B5" s="5" t="inlineStr">
        <is>
          <t>BZ1077</t>
        </is>
      </c>
      <c r="C5" s="5" t="inlineStr">
        <is>
          <t>Ambergris Caye (Pilot)</t>
        </is>
      </c>
      <c r="D5" s="7" t="n">
        <v>5.83</v>
      </c>
      <c r="E5" s="7" t="n">
        <v>38.45</v>
      </c>
      <c r="F5" s="7" t="n">
        <v>0.18</v>
      </c>
      <c r="H5" s="7" t="n">
        <v>35.8</v>
      </c>
    </row>
    <row r="6">
      <c r="A6" s="5" t="n">
        <v>2023</v>
      </c>
      <c r="B6" s="5" t="inlineStr">
        <is>
          <t>BZ1079</t>
        </is>
      </c>
      <c r="C6" s="5" t="inlineStr">
        <is>
          <t>Ambergris Caye (Pilot)</t>
        </is>
      </c>
      <c r="D6" s="7" t="n">
        <v>3.5</v>
      </c>
      <c r="E6" s="7" t="n">
        <v>42.3</v>
      </c>
    </row>
    <row r="7">
      <c r="A7" s="5" t="n">
        <v>2023</v>
      </c>
      <c r="B7" s="5" t="inlineStr">
        <is>
          <t>MXRCK</t>
        </is>
      </c>
      <c r="C7" s="5" t="inlineStr">
        <is>
          <t>Ambergris Caye (Pilot)</t>
        </is>
      </c>
      <c r="D7" s="7" t="n">
        <v>14.5</v>
      </c>
      <c r="E7" s="7" t="n">
        <v>25.8</v>
      </c>
      <c r="F7" s="7" t="n">
        <v>0.35</v>
      </c>
      <c r="H7" s="7" t="n">
        <v>55.1</v>
      </c>
    </row>
    <row r="8">
      <c r="A8" s="5" t="n">
        <v>2023</v>
      </c>
      <c r="B8" s="5" t="inlineStr">
        <is>
          <t>BZ1081</t>
        </is>
      </c>
      <c r="C8" s="5" t="inlineStr">
        <is>
          <t>Ambergris Caye (Pilot)</t>
        </is>
      </c>
      <c r="D8" s="7" t="n">
        <v>6.28</v>
      </c>
      <c r="E8" s="7" t="n">
        <v>41.62</v>
      </c>
      <c r="F8" s="7" t="n">
        <v>0.17</v>
      </c>
      <c r="H8" s="7" t="n">
        <v>46.62</v>
      </c>
    </row>
    <row r="9">
      <c r="A9" s="5" t="n">
        <v>2025</v>
      </c>
      <c r="B9" s="5" t="inlineStr">
        <is>
          <t>BZHCCD01</t>
        </is>
      </c>
      <c r="C9" s="5" t="inlineStr">
        <is>
          <t>Ambergris Caye (Pilot)</t>
        </is>
      </c>
      <c r="D9" s="7" t="n">
        <v>2.1</v>
      </c>
      <c r="E9" s="7" t="n">
        <v>40.15</v>
      </c>
      <c r="F9" s="7" t="n">
        <v>0.28</v>
      </c>
      <c r="G9" s="7" t="n">
        <v>1.12</v>
      </c>
      <c r="H9" s="7" t="n">
        <v>52.3</v>
      </c>
    </row>
    <row r="10">
      <c r="A10" s="5" t="n">
        <v>2025</v>
      </c>
      <c r="B10" s="5" t="inlineStr">
        <is>
          <t>BZHCCD02</t>
        </is>
      </c>
      <c r="C10" s="5" t="inlineStr">
        <is>
          <t>Ambergris Caye (Pilot)</t>
        </is>
      </c>
      <c r="D10" s="7" t="n">
        <v>1.5</v>
      </c>
      <c r="E10" s="7" t="n">
        <v>28.3</v>
      </c>
      <c r="F10" s="7" t="n">
        <v>0.15</v>
      </c>
      <c r="G10" s="7" t="n">
        <v>0.95</v>
      </c>
      <c r="H10" s="7" t="n">
        <v>40.1</v>
      </c>
    </row>
    <row r="11">
      <c r="A11" s="5" t="n">
        <v>2025</v>
      </c>
      <c r="B11" s="5" t="inlineStr">
        <is>
          <t>BZ1231</t>
        </is>
      </c>
      <c r="C11" s="5" t="inlineStr">
        <is>
          <t>Ambergris Caye (Pilot)</t>
        </is>
      </c>
      <c r="D11" s="7" t="n">
        <v>5.8</v>
      </c>
      <c r="E11" s="7" t="n">
        <v>32.5</v>
      </c>
      <c r="F11" s="7" t="n">
        <v>0.3</v>
      </c>
      <c r="G11" s="7" t="n">
        <v>1.18</v>
      </c>
      <c r="H11" s="7" t="n">
        <v>58.5</v>
      </c>
    </row>
    <row r="12">
      <c r="A12" s="5" t="n">
        <v>2025</v>
      </c>
      <c r="B12" s="5" t="inlineStr">
        <is>
          <t>BZ1077</t>
        </is>
      </c>
      <c r="C12" s="5" t="inlineStr">
        <is>
          <t>Ambergris Caye (Pilot)</t>
        </is>
      </c>
      <c r="D12" s="7" t="n">
        <v>3.25</v>
      </c>
      <c r="E12" s="7" t="n">
        <v>45.2</v>
      </c>
      <c r="F12" s="7" t="n">
        <v>0.2</v>
      </c>
      <c r="G12" s="7" t="n">
        <v>0.88</v>
      </c>
      <c r="H12" s="7" t="n">
        <v>42.8</v>
      </c>
    </row>
    <row r="13">
      <c r="A13" s="5" t="n">
        <v>2025</v>
      </c>
      <c r="B13" s="5" t="inlineStr">
        <is>
          <t>BZ1079</t>
        </is>
      </c>
      <c r="C13" s="5" t="inlineStr">
        <is>
          <t>Ambergris Caye (Pilot)</t>
        </is>
      </c>
      <c r="D13" s="7" t="n">
        <v>4.5</v>
      </c>
      <c r="E13" s="7" t="n">
        <v>36</v>
      </c>
      <c r="F13" s="7" t="n">
        <v>0.22</v>
      </c>
      <c r="G13" s="7" t="n">
        <v>1.17</v>
      </c>
      <c r="H13" s="7" t="n">
        <v>54.4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Indicator</t>
        </is>
      </c>
      <c r="B1" s="4" t="inlineStr">
        <is>
          <t>Period</t>
        </is>
      </c>
      <c r="C1" s="4" t="inlineStr">
        <is>
          <t>Data Col</t>
        </is>
      </c>
      <c r="D1" s="4" t="inlineStr">
        <is>
          <t>N</t>
        </is>
      </c>
      <c r="E1" s="4" t="inlineStr">
        <is>
          <t>Mean</t>
        </is>
      </c>
      <c r="F1" s="4" t="inlineStr">
        <is>
          <t>Sum of Squares</t>
        </is>
      </c>
      <c r="G1" s="4" t="inlineStr">
        <is>
          <t>Variance</t>
        </is>
      </c>
      <c r="H1" s="4" t="inlineStr">
        <is>
          <t>SD</t>
        </is>
      </c>
      <c r="I1" s="4" t="inlineStr">
        <is>
          <t>SE</t>
        </is>
      </c>
    </row>
    <row r="2">
      <c r="A2" s="8" t="inlineStr">
        <is>
          <t>Live Coral Cover</t>
        </is>
      </c>
      <c r="B2" s="8" t="inlineStr">
        <is>
          <t>Opening</t>
        </is>
      </c>
      <c r="C2" s="8" t="inlineStr">
        <is>
          <t>D</t>
        </is>
      </c>
      <c r="D2" s="9">
        <f>COUNTIFS(Site_Data!$A$2:$A$500,Condition_Account!$B$2,Site_Data!$C$2:$C$500,Condition_Account!$B$4,Site_Data!D$2:D$500,"&lt;&gt;")</f>
        <v/>
      </c>
      <c r="E2" s="7">
        <f>IFERROR(AVERAGEIFS(Site_Data!D$2:D$500,Site_Data!$A$2:$A$500,Condition_Account!$B$2,Site_Data!$C$2:$C$500,Condition_Account!$B$4),"")</f>
        <v/>
      </c>
      <c r="F2" s="7">
        <f>SUMPRODUCT((Site_Data!$A$2:$A$500=Condition_Account!$B$2)*(Site_Data!$C$2:$C$500=Condition_Account!$B$4)*(ISNUMBER(Site_Data!D$2:D$500))*(Site_Data!D$2:D$500)^2)</f>
        <v/>
      </c>
      <c r="G2" s="10">
        <f>IFERROR((F2-D2*E2^2)/(D2-1),"")</f>
        <v/>
      </c>
      <c r="H2" s="7">
        <f>IFERROR(SQRT(G2),"")</f>
        <v/>
      </c>
      <c r="I2" s="7">
        <f>IFERROR(H2/SQRT(D2),"")</f>
        <v/>
      </c>
    </row>
    <row r="3">
      <c r="A3" s="8" t="inlineStr">
        <is>
          <t>Live Coral Cover</t>
        </is>
      </c>
      <c r="B3" s="8" t="inlineStr">
        <is>
          <t>Closing</t>
        </is>
      </c>
      <c r="C3" s="8" t="inlineStr">
        <is>
          <t>D</t>
        </is>
      </c>
      <c r="D3" s="9">
        <f>COUNTIFS(Site_Data!$A$2:$A$500,Condition_Account!$B$3,Site_Data!$C$2:$C$500,Condition_Account!$B$4,Site_Data!D$2:D$500,"&lt;&gt;")</f>
        <v/>
      </c>
      <c r="E3" s="7">
        <f>IFERROR(AVERAGEIFS(Site_Data!D$2:D$500,Site_Data!$A$2:$A$500,Condition_Account!$B$3,Site_Data!$C$2:$C$500,Condition_Account!$B$4),"")</f>
        <v/>
      </c>
      <c r="F3" s="7">
        <f>SUMPRODUCT((Site_Data!$A$2:$A$500=Condition_Account!$B$3)*(Site_Data!$C$2:$C$500=Condition_Account!$B$4)*(ISNUMBER(Site_Data!D$2:D$500))*(Site_Data!D$2:D$500)^2)</f>
        <v/>
      </c>
      <c r="G3" s="10">
        <f>IFERROR((F3-D3*E3^2)/(D3-1),"")</f>
        <v/>
      </c>
      <c r="H3" s="7">
        <f>IFERROR(SQRT(G3),"")</f>
        <v/>
      </c>
      <c r="I3" s="7">
        <f>IFERROR(H3/SQRT(D3),"")</f>
        <v/>
      </c>
    </row>
    <row r="4">
      <c r="A4" s="8" t="inlineStr">
        <is>
          <t>Fleshy Macroalgae Cover</t>
        </is>
      </c>
      <c r="B4" s="8" t="inlineStr">
        <is>
          <t>Opening</t>
        </is>
      </c>
      <c r="C4" s="8" t="inlineStr">
        <is>
          <t>E</t>
        </is>
      </c>
      <c r="D4" s="9">
        <f>COUNTIFS(Site_Data!$A$2:$A$500,Condition_Account!$B$2,Site_Data!$C$2:$C$500,Condition_Account!$B$4,Site_Data!E$2:E$500,"&lt;&gt;")</f>
        <v/>
      </c>
      <c r="E4" s="7">
        <f>IFERROR(AVERAGEIFS(Site_Data!E$2:E$500,Site_Data!$A$2:$A$500,Condition_Account!$B$2,Site_Data!$C$2:$C$500,Condition_Account!$B$4),"")</f>
        <v/>
      </c>
      <c r="F4" s="7">
        <f>SUMPRODUCT((Site_Data!$A$2:$A$500=Condition_Account!$B$2)*(Site_Data!$C$2:$C$500=Condition_Account!$B$4)*(ISNUMBER(Site_Data!E$2:E$500))*(Site_Data!E$2:E$500)^2)</f>
        <v/>
      </c>
      <c r="G4" s="10">
        <f>IFERROR((F4-D4*E4^2)/(D4-1),"")</f>
        <v/>
      </c>
      <c r="H4" s="7">
        <f>IFERROR(SQRT(G4),"")</f>
        <v/>
      </c>
      <c r="I4" s="7">
        <f>IFERROR(H4/SQRT(D4),"")</f>
        <v/>
      </c>
    </row>
    <row r="5">
      <c r="A5" s="8" t="inlineStr">
        <is>
          <t>Fleshy Macroalgae Cover</t>
        </is>
      </c>
      <c r="B5" s="8" t="inlineStr">
        <is>
          <t>Closing</t>
        </is>
      </c>
      <c r="C5" s="8" t="inlineStr">
        <is>
          <t>E</t>
        </is>
      </c>
      <c r="D5" s="9">
        <f>COUNTIFS(Site_Data!$A$2:$A$500,Condition_Account!$B$3,Site_Data!$C$2:$C$500,Condition_Account!$B$4,Site_Data!E$2:E$500,"&lt;&gt;")</f>
        <v/>
      </c>
      <c r="E5" s="7">
        <f>IFERROR(AVERAGEIFS(Site_Data!E$2:E$500,Site_Data!$A$2:$A$500,Condition_Account!$B$3,Site_Data!$C$2:$C$500,Condition_Account!$B$4),"")</f>
        <v/>
      </c>
      <c r="F5" s="7">
        <f>SUMPRODUCT((Site_Data!$A$2:$A$500=Condition_Account!$B$3)*(Site_Data!$C$2:$C$500=Condition_Account!$B$4)*(ISNUMBER(Site_Data!E$2:E$500))*(Site_Data!E$2:E$500)^2)</f>
        <v/>
      </c>
      <c r="G5" s="10">
        <f>IFERROR((F5-D5*E5^2)/(D5-1),"")</f>
        <v/>
      </c>
      <c r="H5" s="7">
        <f>IFERROR(SQRT(G5),"")</f>
        <v/>
      </c>
      <c r="I5" s="7">
        <f>IFERROR(H5/SQRT(D5),"")</f>
        <v/>
      </c>
    </row>
    <row r="6">
      <c r="A6" s="8" t="inlineStr">
        <is>
          <t>Coral Recruit Density</t>
        </is>
      </c>
      <c r="B6" s="8" t="inlineStr">
        <is>
          <t>Opening</t>
        </is>
      </c>
      <c r="C6" s="8" t="inlineStr">
        <is>
          <t>F</t>
        </is>
      </c>
      <c r="D6" s="9">
        <f>COUNTIFS(Site_Data!$A$2:$A$500,Condition_Account!$B$2,Site_Data!$C$2:$C$500,Condition_Account!$B$4,Site_Data!F$2:F$500,"&lt;&gt;")</f>
        <v/>
      </c>
      <c r="E6" s="7">
        <f>IFERROR(AVERAGEIFS(Site_Data!F$2:F$500,Site_Data!$A$2:$A$500,Condition_Account!$B$2,Site_Data!$C$2:$C$500,Condition_Account!$B$4),"")</f>
        <v/>
      </c>
      <c r="F6" s="7">
        <f>SUMPRODUCT((Site_Data!$A$2:$A$500=Condition_Account!$B$2)*(Site_Data!$C$2:$C$500=Condition_Account!$B$4)*(ISNUMBER(Site_Data!F$2:F$500))*(Site_Data!F$2:F$500)^2)</f>
        <v/>
      </c>
      <c r="G6" s="10">
        <f>IFERROR((F6-D6*E6^2)/(D6-1),"")</f>
        <v/>
      </c>
      <c r="H6" s="7">
        <f>IFERROR(SQRT(G6),"")</f>
        <v/>
      </c>
      <c r="I6" s="7">
        <f>IFERROR(H6/SQRT(D6),"")</f>
        <v/>
      </c>
    </row>
    <row r="7">
      <c r="A7" s="8" t="inlineStr">
        <is>
          <t>Coral Recruit Density</t>
        </is>
      </c>
      <c r="B7" s="8" t="inlineStr">
        <is>
          <t>Closing</t>
        </is>
      </c>
      <c r="C7" s="8" t="inlineStr">
        <is>
          <t>F</t>
        </is>
      </c>
      <c r="D7" s="9">
        <f>COUNTIFS(Site_Data!$A$2:$A$500,Condition_Account!$B$3,Site_Data!$C$2:$C$500,Condition_Account!$B$4,Site_Data!F$2:F$500,"&lt;&gt;")</f>
        <v/>
      </c>
      <c r="E7" s="7">
        <f>IFERROR(AVERAGEIFS(Site_Data!F$2:F$500,Site_Data!$A$2:$A$500,Condition_Account!$B$3,Site_Data!$C$2:$C$500,Condition_Account!$B$4),"")</f>
        <v/>
      </c>
      <c r="F7" s="7">
        <f>SUMPRODUCT((Site_Data!$A$2:$A$500=Condition_Account!$B$3)*(Site_Data!$C$2:$C$500=Condition_Account!$B$4)*(ISNUMBER(Site_Data!F$2:F$500))*(Site_Data!F$2:F$500)^2)</f>
        <v/>
      </c>
      <c r="G7" s="10">
        <f>IFERROR((F7-D7*E7^2)/(D7-1),"")</f>
        <v/>
      </c>
      <c r="H7" s="7">
        <f>IFERROR(SQRT(G7),"")</f>
        <v/>
      </c>
      <c r="I7" s="7">
        <f>IFERROR(H7/SQRT(D7),"")</f>
        <v/>
      </c>
    </row>
    <row r="8">
      <c r="A8" s="8" t="inlineStr">
        <is>
          <t>Coral Diversity (Shannon H')</t>
        </is>
      </c>
      <c r="B8" s="8" t="inlineStr">
        <is>
          <t>Opening</t>
        </is>
      </c>
      <c r="C8" s="8" t="inlineStr">
        <is>
          <t>G</t>
        </is>
      </c>
      <c r="D8" s="9">
        <f>COUNTIFS(Site_Data!$A$2:$A$500,Condition_Account!$B$2,Site_Data!$C$2:$C$500,Condition_Account!$B$4,Site_Data!G$2:G$500,"&lt;&gt;")</f>
        <v/>
      </c>
      <c r="E8" s="7">
        <f>IFERROR(AVERAGEIFS(Site_Data!G$2:G$500,Site_Data!$A$2:$A$500,Condition_Account!$B$2,Site_Data!$C$2:$C$500,Condition_Account!$B$4),"")</f>
        <v/>
      </c>
      <c r="F8" s="7">
        <f>SUMPRODUCT((Site_Data!$A$2:$A$500=Condition_Account!$B$2)*(Site_Data!$C$2:$C$500=Condition_Account!$B$4)*(ISNUMBER(Site_Data!G$2:G$500))*(Site_Data!G$2:G$500)^2)</f>
        <v/>
      </c>
      <c r="G8" s="10">
        <f>IFERROR((F8-D8*E8^2)/(D8-1),"")</f>
        <v/>
      </c>
      <c r="H8" s="7">
        <f>IFERROR(SQRT(G8),"")</f>
        <v/>
      </c>
      <c r="I8" s="7">
        <f>IFERROR(H8/SQRT(D8),"")</f>
        <v/>
      </c>
    </row>
    <row r="9">
      <c r="A9" s="8" t="inlineStr">
        <is>
          <t>Coral Diversity (Shannon H')</t>
        </is>
      </c>
      <c r="B9" s="8" t="inlineStr">
        <is>
          <t>Closing</t>
        </is>
      </c>
      <c r="C9" s="8" t="inlineStr">
        <is>
          <t>G</t>
        </is>
      </c>
      <c r="D9" s="9">
        <f>COUNTIFS(Site_Data!$A$2:$A$500,Condition_Account!$B$3,Site_Data!$C$2:$C$500,Condition_Account!$B$4,Site_Data!G$2:G$500,"&lt;&gt;")</f>
        <v/>
      </c>
      <c r="E9" s="7">
        <f>IFERROR(AVERAGEIFS(Site_Data!G$2:G$500,Site_Data!$A$2:$A$500,Condition_Account!$B$3,Site_Data!$C$2:$C$500,Condition_Account!$B$4),"")</f>
        <v/>
      </c>
      <c r="F9" s="7">
        <f>SUMPRODUCT((Site_Data!$A$2:$A$500=Condition_Account!$B$3)*(Site_Data!$C$2:$C$500=Condition_Account!$B$4)*(ISNUMBER(Site_Data!G$2:G$500))*(Site_Data!G$2:G$500)^2)</f>
        <v/>
      </c>
      <c r="G9" s="10">
        <f>IFERROR((F9-D9*E9^2)/(D9-1),"")</f>
        <v/>
      </c>
      <c r="H9" s="7">
        <f>IFERROR(SQRT(G9),"")</f>
        <v/>
      </c>
      <c r="I9" s="7">
        <f>IFERROR(H9/SQRT(D9),"")</f>
        <v/>
      </c>
    </row>
    <row r="10">
      <c r="A10" s="8" t="inlineStr">
        <is>
          <t>Reef Relief</t>
        </is>
      </c>
      <c r="B10" s="8" t="inlineStr">
        <is>
          <t>Opening</t>
        </is>
      </c>
      <c r="C10" s="8" t="inlineStr">
        <is>
          <t>H</t>
        </is>
      </c>
      <c r="D10" s="9">
        <f>COUNTIFS(Site_Data!$A$2:$A$500,Condition_Account!$B$2,Site_Data!$C$2:$C$500,Condition_Account!$B$4,Site_Data!H$2:H$500,"&lt;&gt;")</f>
        <v/>
      </c>
      <c r="E10" s="7">
        <f>IFERROR(AVERAGEIFS(Site_Data!H$2:H$500,Site_Data!$A$2:$A$500,Condition_Account!$B$2,Site_Data!$C$2:$C$500,Condition_Account!$B$4),"")</f>
        <v/>
      </c>
      <c r="F10" s="7">
        <f>SUMPRODUCT((Site_Data!$A$2:$A$500=Condition_Account!$B$2)*(Site_Data!$C$2:$C$500=Condition_Account!$B$4)*(ISNUMBER(Site_Data!H$2:H$500))*(Site_Data!H$2:H$500)^2)</f>
        <v/>
      </c>
      <c r="G10" s="10">
        <f>IFERROR((F10-D10*E10^2)/(D10-1),"")</f>
        <v/>
      </c>
      <c r="H10" s="7">
        <f>IFERROR(SQRT(G10),"")</f>
        <v/>
      </c>
      <c r="I10" s="7">
        <f>IFERROR(H10/SQRT(D10),"")</f>
        <v/>
      </c>
    </row>
    <row r="11">
      <c r="A11" s="8" t="inlineStr">
        <is>
          <t>Reef Relief</t>
        </is>
      </c>
      <c r="B11" s="8" t="inlineStr">
        <is>
          <t>Closing</t>
        </is>
      </c>
      <c r="C11" s="8" t="inlineStr">
        <is>
          <t>H</t>
        </is>
      </c>
      <c r="D11" s="9">
        <f>COUNTIFS(Site_Data!$A$2:$A$500,Condition_Account!$B$3,Site_Data!$C$2:$C$500,Condition_Account!$B$4,Site_Data!H$2:H$500,"&lt;&gt;")</f>
        <v/>
      </c>
      <c r="E11" s="7">
        <f>IFERROR(AVERAGEIFS(Site_Data!H$2:H$500,Site_Data!$A$2:$A$500,Condition_Account!$B$3,Site_Data!$C$2:$C$500,Condition_Account!$B$4),"")</f>
        <v/>
      </c>
      <c r="F11" s="7">
        <f>SUMPRODUCT((Site_Data!$A$2:$A$500=Condition_Account!$B$3)*(Site_Data!$C$2:$C$500=Condition_Account!$B$4)*(ISNUMBER(Site_Data!H$2:H$500))*(Site_Data!H$2:H$500)^2)</f>
        <v/>
      </c>
      <c r="G11" s="10">
        <f>IFERROR((F11-D11*E11^2)/(D11-1),"")</f>
        <v/>
      </c>
      <c r="H11" s="7">
        <f>IFERROR(SQRT(G11),"")</f>
        <v/>
      </c>
      <c r="I11" s="7">
        <f>IFERROR(H11/SQRT(D11),"")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5455"/>
    <outlinePr summaryBelow="1" summaryRight="1"/>
    <pageSetUpPr/>
  </sheetPr>
  <dimension ref="A1:P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0" customWidth="1" min="15" max="15"/>
    <col width="20" customWidth="1" min="16" max="16"/>
  </cols>
  <sheetData>
    <row r="1">
      <c r="A1" s="1" t="inlineStr">
        <is>
          <t>Condition Account Settings</t>
        </is>
      </c>
    </row>
    <row r="2">
      <c r="A2" s="3" t="inlineStr">
        <is>
          <t>Opening Year</t>
        </is>
      </c>
      <c r="B2" s="11" t="n">
        <v>2023</v>
      </c>
    </row>
    <row r="3">
      <c r="A3" s="3" t="inlineStr">
        <is>
          <t>Closing Year</t>
        </is>
      </c>
      <c r="B3" s="11" t="n">
        <v>2025</v>
      </c>
    </row>
    <row r="4">
      <c r="A4" s="3" t="inlineStr">
        <is>
          <t>Geographic Unit</t>
        </is>
      </c>
      <c r="B4" s="11" t="inlineStr">
        <is>
          <t>Ambergris Caye (Pilot)</t>
        </is>
      </c>
    </row>
    <row r="6">
      <c r="A6" s="4" t="inlineStr">
        <is>
          <t>Indicator</t>
        </is>
      </c>
      <c r="B6" s="4" t="inlineStr">
        <is>
          <t>Unit</t>
        </is>
      </c>
      <c r="C6" s="4" t="inlineStr">
        <is>
          <t>Reference
Level</t>
        </is>
      </c>
      <c r="D6" s="4" t="inlineStr">
        <is>
          <t>Opening
Value</t>
        </is>
      </c>
      <c r="E6" s="4" t="inlineStr">
        <is>
          <t>Opening
SE</t>
        </is>
      </c>
      <c r="F6" s="4" t="inlineStr">
        <is>
          <t>Opening
N</t>
        </is>
      </c>
      <c r="G6" s="4" t="inlineStr">
        <is>
          <t>Opening
CI</t>
        </is>
      </c>
      <c r="H6" s="4" t="inlineStr">
        <is>
          <t>Closing
Value</t>
        </is>
      </c>
      <c r="I6" s="4" t="inlineStr">
        <is>
          <t>Closing
SE</t>
        </is>
      </c>
      <c r="J6" s="4" t="inlineStr">
        <is>
          <t>Closing
N</t>
        </is>
      </c>
      <c r="K6" s="4" t="inlineStr">
        <is>
          <t>Closing
CI</t>
        </is>
      </c>
      <c r="L6" s="4" t="inlineStr">
        <is>
          <t>CI
Change</t>
        </is>
      </c>
      <c r="M6" s="4" t="inlineStr">
        <is>
          <t>Pct Change
(%)</t>
        </is>
      </c>
      <c r="N6" s="4" t="inlineStr">
        <is>
          <t>Interpretation</t>
        </is>
      </c>
      <c r="O6" s="4" t="inlineStr">
        <is>
          <t>N Sites</t>
        </is>
      </c>
      <c r="P6" s="4" t="inlineStr">
        <is>
          <t>Data
Quality</t>
        </is>
      </c>
    </row>
    <row r="7">
      <c r="A7" s="12" t="inlineStr">
        <is>
          <t>Live Coral Cover</t>
        </is>
      </c>
      <c r="B7" s="5" t="inlineStr">
        <is>
          <t>%</t>
        </is>
      </c>
      <c r="C7" s="7">
        <f>Reference_Levels!B2</f>
        <v/>
      </c>
      <c r="D7" s="7">
        <f>IFERROR(IF(Calculations!D2=0,"",Calculations!E2),"")</f>
        <v/>
      </c>
      <c r="E7" s="7">
        <f>IFERROR(IF(Calculations!D2&lt;=1,"",Calculations!I2),"")</f>
        <v/>
      </c>
      <c r="F7" s="9">
        <f>Calculations!D2</f>
        <v/>
      </c>
      <c r="G7" s="10">
        <f>IFERROR(IF(D7="","",MIN(D7/C7,1)),"")</f>
        <v/>
      </c>
      <c r="H7" s="7">
        <f>IFERROR(IF(Calculations!D3=0,"",Calculations!E3),"")</f>
        <v/>
      </c>
      <c r="I7" s="7">
        <f>IFERROR(IF(Calculations!D3&lt;=1,"",Calculations!I3),"")</f>
        <v/>
      </c>
      <c r="J7" s="9">
        <f>Calculations!D3</f>
        <v/>
      </c>
      <c r="K7" s="10">
        <f>IFERROR(IF(H7="","",MIN(H7/C7,1)),"")</f>
        <v/>
      </c>
      <c r="L7" s="10">
        <f>IFERROR(IF(OR(G7="",K7=""),"",K7-G7),"")</f>
        <v/>
      </c>
      <c r="M7" s="7">
        <f>IFERROR(IF(OR(G7="",K7="",G7=0),"",(K7-G7)/G7*100),"")</f>
        <v/>
      </c>
      <c r="N7" s="5">
        <f>IF(AND(ISNUMBER(G7),ISNUMBER(K7)),IF(AND(ISNUMBER(E7),ISNUMBER(I7),C7&lt;&gt;0),IF(ABS(L7)&lt;=(E7/C7+I7/C7)/2,"Stable",IF(L7&gt;0,"Improving","Declining")),IF(L7&gt;0,"Improving",IF(L7&lt;0,"Declining","Stable"))),IF(AND(ISNUMBER(G7),NOT(ISNUMBER(K7))),"Opening only",IF(AND(NOT(ISNUMBER(G7)),ISNUMBER(K7)),"Closing only","Insufficient data")))</f>
        <v/>
      </c>
      <c r="O7" s="13">
        <f>F7&amp;"/"&amp;J7</f>
        <v/>
      </c>
      <c r="P7" s="5">
        <f>IF(OR(F7=0,J7=0),IF(MAX(F7,J7)&gt;=5,"Good (one period)",IF(MAX(F7,J7)&gt;=3,"Moderate (one period)","Limited (one period)")),IF(MIN(F7,J7)&gt;=5,"Good",IF(MIN(F7,J7)&gt;=3,"Moderate","Limited")))</f>
        <v/>
      </c>
    </row>
    <row r="8">
      <c r="A8" s="12" t="inlineStr">
        <is>
          <t>Fleshy Macroalgae Cover</t>
        </is>
      </c>
      <c r="B8" s="5" t="inlineStr">
        <is>
          <t>%</t>
        </is>
      </c>
      <c r="C8" s="7">
        <f>Reference_Levels!B3</f>
        <v/>
      </c>
      <c r="D8" s="7">
        <f>IFERROR(IF(Calculations!D4=0,"",Calculations!E4),"")</f>
        <v/>
      </c>
      <c r="E8" s="7">
        <f>IFERROR(IF(Calculations!D4&lt;=1,"",Calculations!I4),"")</f>
        <v/>
      </c>
      <c r="F8" s="9">
        <f>Calculations!D4</f>
        <v/>
      </c>
      <c r="G8" s="10">
        <f>IFERROR(IF(D8="","",MAX(1-D8/C8,0)),"")</f>
        <v/>
      </c>
      <c r="H8" s="7">
        <f>IFERROR(IF(Calculations!D5=0,"",Calculations!E5),"")</f>
        <v/>
      </c>
      <c r="I8" s="7">
        <f>IFERROR(IF(Calculations!D5&lt;=1,"",Calculations!I5),"")</f>
        <v/>
      </c>
      <c r="J8" s="9">
        <f>Calculations!D5</f>
        <v/>
      </c>
      <c r="K8" s="10">
        <f>IFERROR(IF(H8="","",MAX(1-H8/C8,0)),"")</f>
        <v/>
      </c>
      <c r="L8" s="10">
        <f>IFERROR(IF(OR(G8="",K8=""),"",K8-G8),"")</f>
        <v/>
      </c>
      <c r="M8" s="7">
        <f>IFERROR(IF(OR(G8="",K8="",G8=0),"",(K8-G8)/G8*100),"")</f>
        <v/>
      </c>
      <c r="N8" s="5">
        <f>IF(AND(ISNUMBER(G8),ISNUMBER(K8)),IF(AND(ISNUMBER(E8),ISNUMBER(I8),C8&lt;&gt;0),IF(ABS(L8)&lt;=(E8/C8+I8/C8)/2,"Stable",IF(L8&gt;0,"Improving","Declining")),IF(L8&gt;0,"Improving",IF(L8&lt;0,"Declining","Stable"))),IF(AND(ISNUMBER(G8),NOT(ISNUMBER(K8))),"Opening only",IF(AND(NOT(ISNUMBER(G8)),ISNUMBER(K8)),"Closing only","Insufficient data")))</f>
        <v/>
      </c>
      <c r="O8" s="13">
        <f>F8&amp;"/"&amp;J8</f>
        <v/>
      </c>
      <c r="P8" s="5">
        <f>IF(OR(F8=0,J8=0),IF(MAX(F8,J8)&gt;=5,"Good (one period)",IF(MAX(F8,J8)&gt;=3,"Moderate (one period)","Limited (one period)")),IF(MIN(F8,J8)&gt;=5,"Good",IF(MIN(F8,J8)&gt;=3,"Moderate","Limited")))</f>
        <v/>
      </c>
    </row>
    <row r="9">
      <c r="A9" s="12" t="inlineStr">
        <is>
          <t>Coral Recruit Density</t>
        </is>
      </c>
      <c r="B9" s="5" t="inlineStr">
        <is>
          <t>per m2</t>
        </is>
      </c>
      <c r="C9" s="7">
        <f>Reference_Levels!B4</f>
        <v/>
      </c>
      <c r="D9" s="7">
        <f>IFERROR(IF(Calculations!D6=0,"",Calculations!E6),"")</f>
        <v/>
      </c>
      <c r="E9" s="7">
        <f>IFERROR(IF(Calculations!D6&lt;=1,"",Calculations!I6),"")</f>
        <v/>
      </c>
      <c r="F9" s="9">
        <f>Calculations!D6</f>
        <v/>
      </c>
      <c r="G9" s="10">
        <f>IFERROR(IF(D9="","",MIN(D9/C9,1)),"")</f>
        <v/>
      </c>
      <c r="H9" s="7">
        <f>IFERROR(IF(Calculations!D7=0,"",Calculations!E7),"")</f>
        <v/>
      </c>
      <c r="I9" s="7">
        <f>IFERROR(IF(Calculations!D7&lt;=1,"",Calculations!I7),"")</f>
        <v/>
      </c>
      <c r="J9" s="9">
        <f>Calculations!D7</f>
        <v/>
      </c>
      <c r="K9" s="10">
        <f>IFERROR(IF(H9="","",MIN(H9/C9,1)),"")</f>
        <v/>
      </c>
      <c r="L9" s="10">
        <f>IFERROR(IF(OR(G9="",K9=""),"",K9-G9),"")</f>
        <v/>
      </c>
      <c r="M9" s="7">
        <f>IFERROR(IF(OR(G9="",K9="",G9=0),"",(K9-G9)/G9*100),"")</f>
        <v/>
      </c>
      <c r="N9" s="5">
        <f>IF(AND(ISNUMBER(G9),ISNUMBER(K9)),IF(AND(ISNUMBER(E9),ISNUMBER(I9),C9&lt;&gt;0),IF(ABS(L9)&lt;=(E9/C9+I9/C9)/2,"Stable",IF(L9&gt;0,"Improving","Declining")),IF(L9&gt;0,"Improving",IF(L9&lt;0,"Declining","Stable"))),IF(AND(ISNUMBER(G9),NOT(ISNUMBER(K9))),"Opening only",IF(AND(NOT(ISNUMBER(G9)),ISNUMBER(K9)),"Closing only","Insufficient data")))</f>
        <v/>
      </c>
      <c r="O9" s="13">
        <f>F9&amp;"/"&amp;J9</f>
        <v/>
      </c>
      <c r="P9" s="5">
        <f>IF(OR(F9=0,J9=0),IF(MAX(F9,J9)&gt;=5,"Good (one period)",IF(MAX(F9,J9)&gt;=3,"Moderate (one period)","Limited (one period)")),IF(MIN(F9,J9)&gt;=5,"Good",IF(MIN(F9,J9)&gt;=3,"Moderate","Limited")))</f>
        <v/>
      </c>
    </row>
    <row r="10">
      <c r="A10" s="12" t="inlineStr">
        <is>
          <t>Coral Diversity (Shannon H')</t>
        </is>
      </c>
      <c r="B10" s="5" t="inlineStr">
        <is>
          <t>index</t>
        </is>
      </c>
      <c r="C10" s="7">
        <f>Reference_Levels!B5</f>
        <v/>
      </c>
      <c r="D10" s="7">
        <f>IFERROR(IF(Calculations!D8=0,"",Calculations!E8),"")</f>
        <v/>
      </c>
      <c r="E10" s="7">
        <f>IFERROR(IF(Calculations!D8&lt;=1,"",Calculations!I8),"")</f>
        <v/>
      </c>
      <c r="F10" s="9">
        <f>Calculations!D8</f>
        <v/>
      </c>
      <c r="G10" s="10">
        <f>IFERROR(IF(D10="","",MIN(D10/C10,1)),"")</f>
        <v/>
      </c>
      <c r="H10" s="7">
        <f>IFERROR(IF(Calculations!D9=0,"",Calculations!E9),"")</f>
        <v/>
      </c>
      <c r="I10" s="7">
        <f>IFERROR(IF(Calculations!D9&lt;=1,"",Calculations!I9),"")</f>
        <v/>
      </c>
      <c r="J10" s="9">
        <f>Calculations!D9</f>
        <v/>
      </c>
      <c r="K10" s="10">
        <f>IFERROR(IF(H10="","",MIN(H10/C10,1)),"")</f>
        <v/>
      </c>
      <c r="L10" s="10">
        <f>IFERROR(IF(OR(G10="",K10=""),"",K10-G10),"")</f>
        <v/>
      </c>
      <c r="M10" s="7">
        <f>IFERROR(IF(OR(G10="",K10="",G10=0),"",(K10-G10)/G10*100),"")</f>
        <v/>
      </c>
      <c r="N10" s="5">
        <f>IF(AND(ISNUMBER(G10),ISNUMBER(K10)),IF(AND(ISNUMBER(E10),ISNUMBER(I10),C10&lt;&gt;0),IF(ABS(L10)&lt;=(E10/C10+I10/C10)/2,"Stable",IF(L10&gt;0,"Improving","Declining")),IF(L10&gt;0,"Improving",IF(L10&lt;0,"Declining","Stable"))),IF(AND(ISNUMBER(G10),NOT(ISNUMBER(K10))),"Opening only",IF(AND(NOT(ISNUMBER(G10)),ISNUMBER(K10)),"Closing only","Insufficient data")))</f>
        <v/>
      </c>
      <c r="O10" s="13">
        <f>F10&amp;"/"&amp;J10</f>
        <v/>
      </c>
      <c r="P10" s="5">
        <f>IF(OR(F10=0,J10=0),IF(MAX(F10,J10)&gt;=5,"Good (one period)",IF(MAX(F10,J10)&gt;=3,"Moderate (one period)","Limited (one period)")),IF(MIN(F10,J10)&gt;=5,"Good",IF(MIN(F10,J10)&gt;=3,"Moderate","Limited")))</f>
        <v/>
      </c>
    </row>
    <row r="11">
      <c r="A11" s="12" t="inlineStr">
        <is>
          <t>Reef Relief</t>
        </is>
      </c>
      <c r="B11" s="5" t="inlineStr">
        <is>
          <t>cm</t>
        </is>
      </c>
      <c r="C11" s="14">
        <f>Reference_Levels!B6</f>
        <v/>
      </c>
      <c r="D11" s="7">
        <f>IFERROR(IF(Calculations!D10=0,"",Calculations!E10),"")</f>
        <v/>
      </c>
      <c r="E11" s="7">
        <f>IFERROR(IF(Calculations!D10&lt;=1,"",Calculations!I10),"")</f>
        <v/>
      </c>
      <c r="F11" s="9">
        <f>Calculations!D10</f>
        <v/>
      </c>
      <c r="G11" s="10">
        <f>IFERROR(IF(D11="","",MIN(D11/C11,1)),"")</f>
        <v/>
      </c>
      <c r="H11" s="7">
        <f>IFERROR(IF(Calculations!D11=0,"",Calculations!E11),"")</f>
        <v/>
      </c>
      <c r="I11" s="7">
        <f>IFERROR(IF(Calculations!D11&lt;=1,"",Calculations!I11),"")</f>
        <v/>
      </c>
      <c r="J11" s="9">
        <f>Calculations!D11</f>
        <v/>
      </c>
      <c r="K11" s="10">
        <f>IFERROR(IF(H11="","",MIN(H11/C11,1)),"")</f>
        <v/>
      </c>
      <c r="L11" s="10">
        <f>IFERROR(IF(OR(G11="",K11=""),"",K11-G11),"")</f>
        <v/>
      </c>
      <c r="M11" s="7">
        <f>IFERROR(IF(OR(G11="",K11="",G11=0),"",(K11-G11)/G11*100),"")</f>
        <v/>
      </c>
      <c r="N11" s="5">
        <f>IF(AND(ISNUMBER(G11),ISNUMBER(K11)),IF(AND(ISNUMBER(E11),ISNUMBER(I11),C11&lt;&gt;0),IF(ABS(L11)&lt;=(E11/C11+I11/C11)/2,"Stable",IF(L11&gt;0,"Improving","Declining")),IF(L11&gt;0,"Improving",IF(L11&lt;0,"Declining","Stable"))),IF(AND(ISNUMBER(G11),NOT(ISNUMBER(K11))),"Opening only",IF(AND(NOT(ISNUMBER(G11)),ISNUMBER(K11)),"Closing only","Insufficient data")))</f>
        <v/>
      </c>
      <c r="O11" s="13">
        <f>F11&amp;"/"&amp;J11</f>
        <v/>
      </c>
      <c r="P11" s="5">
        <f>IF(OR(F11=0,J11=0),IF(MAX(F11,J11)&gt;=5,"Good (one period)",IF(MAX(F11,J11)&gt;=3,"Moderate (one period)","Limited (one period)")),IF(MIN(F11,J11)&gt;=5,"Good",IF(MIN(F11,J11)&gt;=3,"Moderate","Limited")))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2026-03-19T08:51:20Z</dcterms:created>
  <dcterms:modified xmlns:dcterms="http://purl.org/dc/terms/" xmlns:xsi="http://www.w3.org/2001/XMLSchema-instance" xsi:type="dcterms:W3CDTF">2026-03-19T08:51:20Z</dcterms:modified>
</cp:coreProperties>
</file>